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<sst xmlns="http://schemas.openxmlformats.org/spreadsheetml/2006/main" count="50" uniqueCount="45">
  <si>
    <t>Design</t>
  </si>
  <si>
    <t>Standard Cell Library</t>
  </si>
  <si>
    <t>Cell Count</t>
  </si>
  <si>
    <t>Scannable Elements</t>
  </si>
  <si>
    <t>Scannable Element Ratio</t>
  </si>
  <si>
    <t>Instance Area</t>
  </si>
  <si>
    <t>Worst Slack (skip)</t>
  </si>
  <si>
    <t>Worst Slack (fault)</t>
  </si>
  <si>
    <t>Worst Slack (basic)</t>
  </si>
  <si>
    <t>Worst Slack (opt)</t>
  </si>
  <si>
    <t>Worst Slack Impact (fault)</t>
  </si>
  <si>
    <t>Worst Slack Impact (basic)</t>
  </si>
  <si>
    <t>Worst Slack Impact (opt)</t>
  </si>
  <si>
    <t>Total Negative Slack (skip)</t>
  </si>
  <si>
    <t>Total Negative Slack (fault)</t>
  </si>
  <si>
    <t>Total Negative Slack (basic)</t>
  </si>
  <si>
    <t>Total Negative Slack (opt)</t>
  </si>
  <si>
    <t>Total Negative Slack Impact (fault)</t>
  </si>
  <si>
    <t>Total Negative Slack Impact (basic)</t>
  </si>
  <si>
    <t>Total Negative Slack Impact (opt)</t>
  </si>
  <si>
    <t>Routing Time (skip)</t>
  </si>
  <si>
    <t>Routing Time (fault)</t>
  </si>
  <si>
    <t>Routing Time (basic)</t>
  </si>
  <si>
    <t>Routing Time (opt)</t>
  </si>
  <si>
    <t>Routing Time Impact (fault)</t>
  </si>
  <si>
    <t>Routing Time Impact (basic)</t>
  </si>
  <si>
    <t>Routing Time Impact (opt)</t>
  </si>
  <si>
    <t>Congestion Score (skip)</t>
  </si>
  <si>
    <t>Congestion Score (fault)</t>
  </si>
  <si>
    <t>Congestion Score (basic)</t>
  </si>
  <si>
    <t>Congestion Score (opt)</t>
  </si>
  <si>
    <t>Congestion Score Impact (fault)</t>
  </si>
  <si>
    <t>Congestion Score Impact (basic)</t>
  </si>
  <si>
    <t>Congestion Score Impact (opt)</t>
  </si>
  <si>
    <t>Scan Chain Routed WL (skip)</t>
  </si>
  <si>
    <t>Scan Chain Routed WL (fault)</t>
  </si>
  <si>
    <t>Scan Chain Routed WL (basic)</t>
  </si>
  <si>
    <t>Scan Chain Routed WL (opt)</t>
  </si>
  <si>
    <t>Scan Chain Routed WL Impact (fault)</t>
  </si>
  <si>
    <t>Scan Chain Routed WL Impact (opt)</t>
  </si>
  <si>
    <t>Routing Threads</t>
  </si>
  <si>
    <t>s1196</t>
  </si>
  <si>
    <t>00:00:04</t>
  </si>
  <si>
    <t>gf180mcu_fd_sc_mcu7t5v0</t>
  </si>
  <si>
    <t>00:00:03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</si>
</sst>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43</v>
      </c>
      <c r="C2">
        <v>121</v>
      </c>
      <c r="D2">
        <v>28</v>
      </c>
      <c r="E2">
        <f>D2/C2</f>
        <v>0</v>
      </c>
      <c r="F2">
        <v>4719.68</v>
      </c>
      <c r="G2">
        <v>-4.381529929559678</v>
      </c>
      <c r="H2">
        <v>-4.905064937501659</v>
      </c>
      <c r="I2">
        <v>-5.154516070978336</v>
      </c>
      <c r="J2">
        <v>-4.642287574638909</v>
      </c>
      <c r="K2" s="1">
        <f>IF(G2=0, "", (H2-G2)/G2)</f>
        <v>0</v>
      </c>
      <c r="L2" s="1">
        <f>IF(G2=0, "", (I2-G2)/G2)</f>
        <v>0</v>
      </c>
      <c r="M2" s="1">
        <f>IF(G2=0, "", (J2-G2)/G2)</f>
        <v>0</v>
      </c>
      <c r="N2">
        <v>-36.26421932056792</v>
      </c>
      <c r="O2">
        <v>-45.66854046413319</v>
      </c>
      <c r="P2">
        <v>-51.20747704141987</v>
      </c>
      <c r="Q2">
        <v>-44.64550455696605</v>
      </c>
      <c r="R2" s="1">
        <f>IF(N2=0, "", (O2-N2)/N2)</f>
        <v>0</v>
      </c>
      <c r="S2" s="1">
        <f>IF(N2=0, "", (P2-N2)/N2)</f>
        <v>0</v>
      </c>
      <c r="T2" s="1">
        <f>IF(N2=0, "", (Q2-N2)/N2)</f>
        <v>0</v>
      </c>
      <c r="U2" t="s">
        <v>44</v>
      </c>
      <c r="V2" t="s">
        <v>42</v>
      </c>
      <c r="W2" t="s">
        <v>42</v>
      </c>
      <c r="X2" t="s">
        <v>44</v>
      </c>
      <c r="Y2" s="1">
        <f>IF(U2=0, "", (V2-U2)/U2)</f>
        <v>0</v>
      </c>
      <c r="Z2" s="1">
        <f>IF(U2=0, "", (W2-U2)/U2)</f>
        <v>0</v>
      </c>
      <c r="AA2" s="1">
        <f>IF(U2=0, "", (X2-U2)/U2)</f>
        <v>0</v>
      </c>
      <c r="AB2">
        <v>0.2442668502951314</v>
      </c>
      <c r="AC2">
        <v>0.261983827198813</v>
      </c>
      <c r="AD2">
        <v>0.2483793065387398</v>
      </c>
      <c r="AE2">
        <v>0.271734079450171</v>
      </c>
      <c r="AF2" s="1">
        <f>IF(AB2=0, "", (AC2-AB2)/AB2)</f>
        <v>0</v>
      </c>
      <c r="AG2" s="1">
        <f>IF(AB2=0, "", (AD2-AB2)/AB2)</f>
        <v>0</v>
      </c>
      <c r="AH2" s="1">
        <f>IF(AB2=0, "", (AE2-AB2)/AB2)</f>
        <v>0</v>
      </c>
      <c r="AI2">
        <v>0</v>
      </c>
      <c r="AJ2">
        <v>11.2</v>
      </c>
      <c r="AK2">
        <v>405.69</v>
      </c>
      <c r="AL2">
        <v>377.89</v>
      </c>
      <c r="AM2" s="1">
        <f>IF(AK2=0, "", (AJ2-AK2)/AK2)</f>
        <v>0</v>
      </c>
      <c r="AN2" s="1">
        <f>IF(AK2=0, "", (AL2-AK2)/AK2)</f>
        <v>0</v>
      </c>
      <c r="AO2">
        <v>1</v>
      </c>
    </row>
    <row r="3" spans="1:41">
      <c r="K3" s="1">
        <f>AVERAGE(K2:K2)</f>
        <v>0</v>
      </c>
      <c r="L3" s="1">
        <f>AVERAGE(L2:L2)</f>
        <v>0</v>
      </c>
      <c r="M3" s="1">
        <f>AVERAGE(M2:M2)</f>
        <v>0</v>
      </c>
      <c r="R3" s="1">
        <f>AVERAGE(R2:R2)</f>
        <v>0</v>
      </c>
      <c r="S3" s="1">
        <f>AVERAGE(S2:S2)</f>
        <v>0</v>
      </c>
      <c r="T3" s="1">
        <f>AVERAGE(T2:T2)</f>
        <v>0</v>
      </c>
      <c r="Y3" s="1">
        <f>AVERAGE(Y2:Y2)</f>
        <v>0</v>
      </c>
      <c r="Z3" s="1">
        <f>AVERAGE(Z2:Z2)</f>
        <v>0</v>
      </c>
      <c r="AA3" s="1">
        <f>AVERAGE(AA2:AA2)</f>
        <v>0</v>
      </c>
      <c r="AF3" s="1">
        <f>AVERAGE(AF2:AF2)</f>
        <v>0</v>
      </c>
      <c r="AG3" s="1">
        <f>AVERAGE(AG2:AG2)</f>
        <v>0</v>
      </c>
      <c r="AH3" s="1">
        <f>AVERAGE(AH2:AH2)</f>
        <v>0</v>
      </c>
      <c r="AM3" s="1">
        <f>AVERAGE(AM2:AM2)</f>
        <v>0</v>
      </c>
      <c r="AN3" s="1">
        <f>AVERAGE(AN2:AN2)</f>
        <v>0</v>
      </c>
    </row>
    <row r="4" spans="1:41">
      <c r="K4" s="1">
        <f>MEDIAN(K2:K2)</f>
        <v>0</v>
      </c>
      <c r="L4" s="1">
        <f>MEDIAN(L2:L2)</f>
        <v>0</v>
      </c>
      <c r="M4" s="1">
        <f>MEDIAN(M2:M2)</f>
        <v>0</v>
      </c>
      <c r="R4" s="1">
        <f>MEDIAN(R2:R2)</f>
        <v>0</v>
      </c>
      <c r="S4" s="1">
        <f>MEDIAN(S2:S2)</f>
        <v>0</v>
      </c>
      <c r="T4" s="1">
        <f>MEDIAN(T2:T2)</f>
        <v>0</v>
      </c>
      <c r="Y4" s="1">
        <f>MEDIAN(Y2:Y2)</f>
        <v>0</v>
      </c>
      <c r="Z4" s="1">
        <f>MEDIAN(Z2:Z2)</f>
        <v>0</v>
      </c>
      <c r="AA4" s="1">
        <f>MEDIAN(AA2:AA2)</f>
        <v>0</v>
      </c>
      <c r="AF4" s="1">
        <f>MEDIAN(AF2:AF2)</f>
        <v>0</v>
      </c>
      <c r="AG4" s="1">
        <f>MEDIAN(AG2:AG2)</f>
        <v>0</v>
      </c>
      <c r="AH4" s="1">
        <f>MEDIAN(AH2:AH2)</f>
        <v>0</v>
      </c>
      <c r="AM4" s="1">
        <f>MEDIAN(AM2:AM2)</f>
        <v>0</v>
      </c>
      <c r="AN4" s="1">
        <f>MEDIAN(AN2:AN2)</f>
        <v>0</v>
      </c>
    </row>
    <row r="5" spans="1:41">
      <c r="K5" s="1">
        <f>STDEV(K2:K2)</f>
        <v>0</v>
      </c>
      <c r="L5" s="1">
        <f>STDEV(L2:L2)</f>
        <v>0</v>
      </c>
      <c r="M5" s="1">
        <f>STDEV(M2:M2)</f>
        <v>0</v>
      </c>
      <c r="R5" s="1">
        <f>STDEV(R2:R2)</f>
        <v>0</v>
      </c>
      <c r="S5" s="1">
        <f>STDEV(S2:S2)</f>
        <v>0</v>
      </c>
      <c r="T5" s="1">
        <f>STDEV(T2:T2)</f>
        <v>0</v>
      </c>
      <c r="Y5" s="1">
        <f>STDEV(Y2:Y2)</f>
        <v>0</v>
      </c>
      <c r="Z5" s="1">
        <f>STDEV(Z2:Z2)</f>
        <v>0</v>
      </c>
      <c r="AA5" s="1">
        <f>STDEV(AA2:AA2)</f>
        <v>0</v>
      </c>
      <c r="AF5" s="1">
        <f>STDEV(AF2:AF2)</f>
        <v>0</v>
      </c>
      <c r="AG5" s="1">
        <f>STDEV(AG2:AG2)</f>
        <v>0</v>
      </c>
      <c r="AH5" s="1">
        <f>STDEV(AH2:AH2)</f>
        <v>0</v>
      </c>
      <c r="AM5" s="1">
        <f>STDEV(AM2:AM2)</f>
        <v>0</v>
      </c>
      <c r="AN5" s="1">
        <f>STDEV(AN2:AN2)</f>
        <v>0</v>
      </c>
    </row>
    <row r="6" spans="1:41">
      <c r="K6">
        <f>CORREL(K2:K2,E2:E2)</f>
        <v>0</v>
      </c>
      <c r="L6">
        <f>CORREL(L2:L2,E2:E2)</f>
        <v>0</v>
      </c>
      <c r="M6">
        <f>CORREL(M2:M2,E2:E2)</f>
        <v>0</v>
      </c>
      <c r="R6">
        <f>CORREL(R2:R2,E2:E2)</f>
        <v>0</v>
      </c>
      <c r="S6">
        <f>CORREL(S2:S2,E2:E2)</f>
        <v>0</v>
      </c>
      <c r="T6">
        <f>CORREL(T2:T2,E2:E2)</f>
        <v>0</v>
      </c>
      <c r="Y6">
        <f>CORREL(Y2:Y2,E2:E2)</f>
        <v>0</v>
      </c>
      <c r="Z6">
        <f>CORREL(Z2:Z2,E2:E2)</f>
        <v>0</v>
      </c>
      <c r="AA6">
        <f>CORREL(AA2:AA2,E2:E2)</f>
        <v>0</v>
      </c>
      <c r="AF6">
        <f>CORREL(AF2:AF2,E2:E2)</f>
        <v>0</v>
      </c>
      <c r="AG6">
        <f>CORREL(AG2:AG2,E2:E2)</f>
        <v>0</v>
      </c>
      <c r="AH6">
        <f>CORREL(AH2:AH2,E2:E2)</f>
        <v>0</v>
      </c>
      <c r="AM6">
        <f>CORREL(AM2:AM2,E2:E2)</f>
        <v>0</v>
      </c>
      <c r="AN6">
        <f>CORREL(AN2:AN2,E2:E2)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2026-05-06T11:58:07Z</dcterms:created>
  <dcterms:modified xsi:type="dcterms:W3CDTF">2026-05-06T11:58:07Z</dcterms:modified>
</cp:coreProperties>
</file>