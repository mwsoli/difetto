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<sst xmlns="http://schemas.openxmlformats.org/spreadsheetml/2006/main" count="284" uniqueCount="105">
  <si>
    <t>Design</t>
  </si>
  <si>
    <t>Standard Cell Library</t>
  </si>
  <si>
    <t>Cell Count</t>
  </si>
  <si>
    <t>Scannable Elements</t>
  </si>
  <si>
    <t>Scannable Element Ratio</t>
  </si>
  <si>
    <t>Worst Slack (skip)</t>
  </si>
  <si>
    <t>Worst Slack (fault)</t>
  </si>
  <si>
    <t>Worst Slack (basic)</t>
  </si>
  <si>
    <t>Worst Slack (opt)</t>
  </si>
  <si>
    <t>Worst Slack Impact (opt vs basic)</t>
  </si>
  <si>
    <t>Total Negative Slack (skip)</t>
  </si>
  <si>
    <t>Total Negative Slack (fault)</t>
  </si>
  <si>
    <t>Total Negative Slack (basic)</t>
  </si>
  <si>
    <t>Total Negative Slack (opt)</t>
  </si>
  <si>
    <t>Total Negative Slack Impact (opt vs basic)</t>
  </si>
  <si>
    <t>Routing Time (skip)</t>
  </si>
  <si>
    <t>Routing Time (fault)</t>
  </si>
  <si>
    <t>Routing Time (basic)</t>
  </si>
  <si>
    <t>Routing Time (opt)</t>
  </si>
  <si>
    <t>Routing Time Impact (opt vs basic)</t>
  </si>
  <si>
    <t>Congestion Score (skip)</t>
  </si>
  <si>
    <t>Congestion Score (fault)</t>
  </si>
  <si>
    <t>Congestion Score (basic)</t>
  </si>
  <si>
    <t>Congestion Score (opt)</t>
  </si>
  <si>
    <t>Congestion Score Impact (opt vs basic)</t>
  </si>
  <si>
    <t>Scan Chain Routed WL (skip)</t>
  </si>
  <si>
    <t>Scan Chain Routed WL (fault)</t>
  </si>
  <si>
    <t>Scan Chain Routed WL (basic)</t>
  </si>
  <si>
    <t>Scan Chain Routed WL (opt)</t>
  </si>
  <si>
    <t>Scan Chain Routed WL Impact (opt vs basic)</t>
  </si>
  <si>
    <t>Instance Area (skip)</t>
  </si>
  <si>
    <t>Instance Area (fault)</t>
  </si>
  <si>
    <t>Instance Area (basic)</t>
  </si>
  <si>
    <t>Instance Area (opt)</t>
  </si>
  <si>
    <t>Instance Area Impact (opt vs basic)</t>
  </si>
  <si>
    <t>Power Total (skip)</t>
  </si>
  <si>
    <t>Power Total (fault)</t>
  </si>
  <si>
    <t>Power Total (basic)</t>
  </si>
  <si>
    <t>Power Total (opt)</t>
  </si>
  <si>
    <t>Power Total Impact (opt vs basic)</t>
  </si>
  <si>
    <t>Routing Threads</t>
  </si>
  <si>
    <t>s1196</t>
  </si>
  <si>
    <t>00:00:04</t>
  </si>
  <si>
    <t>gf180mcu_fd_sc_mcu7t5v0</t>
  </si>
  <si>
    <t>00:00:03</t>
  </si>
  <si>
    <t>s1196b</t>
  </si>
  <si>
    <t>00:00:13</t>
  </si>
  <si>
    <t>00:00:09</t>
  </si>
  <si>
    <t>00:00:15</t>
  </si>
  <si>
    <t>00:00:12</t>
  </si>
  <si>
    <t>s1238</t>
  </si>
  <si>
    <t>00:00:19</t>
  </si>
  <si>
    <t>00:00:11</t>
  </si>
  <si>
    <t>00:00:10</t>
  </si>
  <si>
    <t>s13207</t>
  </si>
  <si>
    <t>00:00:59</t>
  </si>
  <si>
    <t>00:01:04</t>
  </si>
  <si>
    <t>00:00:41</t>
  </si>
  <si>
    <t>00:00:34</t>
  </si>
  <si>
    <t>s1423</t>
  </si>
  <si>
    <t>00:00:07</t>
  </si>
  <si>
    <t>s15850</t>
  </si>
  <si>
    <t>00:01:23</t>
  </si>
  <si>
    <t>00:01:32</t>
  </si>
  <si>
    <t>00:01:00</t>
  </si>
  <si>
    <t>00:00:47</t>
  </si>
  <si>
    <t>s27</t>
  </si>
  <si>
    <t>00:00:00</t>
  </si>
  <si>
    <t>s298</t>
  </si>
  <si>
    <t>00:00:02</t>
  </si>
  <si>
    <t>00:00:01</t>
  </si>
  <si>
    <t>s344</t>
  </si>
  <si>
    <t>s349</t>
  </si>
  <si>
    <t>s35932</t>
  </si>
  <si>
    <t>00:02:55</t>
  </si>
  <si>
    <t>00:02:19</t>
  </si>
  <si>
    <t>00:01:47</t>
  </si>
  <si>
    <t>00:01:27</t>
  </si>
  <si>
    <t>s382</t>
  </si>
  <si>
    <t>s38584</t>
  </si>
  <si>
    <t>00:04:02</t>
  </si>
  <si>
    <t>00:04:48</t>
  </si>
  <si>
    <t>00:02:25</t>
  </si>
  <si>
    <t>00:02:04</t>
  </si>
  <si>
    <t>s386</t>
  </si>
  <si>
    <t>s400</t>
  </si>
  <si>
    <t>s420</t>
  </si>
  <si>
    <t>s444</t>
  </si>
  <si>
    <t>s510</t>
  </si>
  <si>
    <t>s526</t>
  </si>
  <si>
    <t>s5378</t>
  </si>
  <si>
    <t>00:00:21</t>
  </si>
  <si>
    <t>00:00:17</t>
  </si>
  <si>
    <t>00:00:14</t>
  </si>
  <si>
    <t>s641</t>
  </si>
  <si>
    <t>s713</t>
  </si>
  <si>
    <t>00:00:05</t>
  </si>
  <si>
    <t>s820</t>
  </si>
  <si>
    <t>s832</t>
  </si>
  <si>
    <t>00:00:06</t>
  </si>
  <si>
    <t>s838</t>
  </si>
  <si>
    <t>s9234</t>
  </si>
  <si>
    <t>00:00:22</t>
  </si>
  <si>
    <t>s953</t>
  </si>
  <si>
    <t>00:00:08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</si>
</sst>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2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43</v>
      </c>
      <c r="C2">
        <v>121</v>
      </c>
      <c r="D2">
        <v>28</v>
      </c>
      <c r="E2">
        <f>D2/C2</f>
        <v>0</v>
      </c>
      <c r="F2">
        <v>-4.381529929559678</v>
      </c>
      <c r="G2">
        <v>-4.905064937501659</v>
      </c>
      <c r="H2">
        <v>-5.154516070978336</v>
      </c>
      <c r="I2">
        <v>-4.642287574638909</v>
      </c>
      <c r="J2" s="1">
        <f>IF(H2=0, "", (I2-H2)/H2)</f>
        <v>0</v>
      </c>
      <c r="K2">
        <v>-36.26421932056792</v>
      </c>
      <c r="L2">
        <v>-45.66854046413319</v>
      </c>
      <c r="M2">
        <v>-51.20747704141987</v>
      </c>
      <c r="N2">
        <v>-44.64550455696605</v>
      </c>
      <c r="O2" s="1">
        <f>IF(M2=0, "", (N2-M2)/M2)</f>
        <v>0</v>
      </c>
      <c r="P2" t="s">
        <v>44</v>
      </c>
      <c r="Q2" t="s">
        <v>42</v>
      </c>
      <c r="R2" t="s">
        <v>42</v>
      </c>
      <c r="S2" t="s">
        <v>44</v>
      </c>
      <c r="T2" s="1">
        <f>IF(R2=0, "", (S2-R2)/R2)</f>
        <v>0</v>
      </c>
      <c r="U2">
        <v>0.2442668502951314</v>
      </c>
      <c r="V2">
        <v>0.261983827198813</v>
      </c>
      <c r="W2">
        <v>0.2483793065387398</v>
      </c>
      <c r="X2">
        <v>0.271734079450171</v>
      </c>
      <c r="Y2" s="1">
        <f>IF(W2=0, "", (X2-W2)/W2)</f>
        <v>0</v>
      </c>
      <c r="Z2">
        <v>0</v>
      </c>
      <c r="AA2">
        <v>11.2</v>
      </c>
      <c r="AB2">
        <v>405.69</v>
      </c>
      <c r="AC2">
        <v>377.89</v>
      </c>
      <c r="AD2" s="1">
        <f>IF(AB2=0, "", (AC2-AB2)/AB2)</f>
        <v>0</v>
      </c>
      <c r="AE2">
        <v>10804.8</v>
      </c>
      <c r="AF2">
        <v>10249.4</v>
      </c>
      <c r="AG2">
        <v>10102.3</v>
      </c>
      <c r="AH2">
        <v>10706</v>
      </c>
      <c r="AI2" s="1">
        <f>IF(AG2=0, "", (AH2-AG2)/AG2)</f>
        <v>0</v>
      </c>
      <c r="AJ2">
        <v>0.007984235882759094</v>
      </c>
      <c r="AK2">
        <v>0.009078836999833584</v>
      </c>
      <c r="AL2">
        <v>0.008286713622510433</v>
      </c>
      <c r="AM2">
        <v>0.008979653939604759</v>
      </c>
      <c r="AN2" s="1">
        <f>IF(AL2=0, "", (AM2-AL2)/AL2)</f>
        <v>0</v>
      </c>
      <c r="AO2">
        <v>1</v>
      </c>
    </row>
    <row r="3" spans="1:41">
      <c r="A3" t="s">
        <v>45</v>
      </c>
      <c r="B3" t="s">
        <v>43</v>
      </c>
      <c r="C3">
        <v>300</v>
      </c>
      <c r="D3">
        <v>46</v>
      </c>
      <c r="E3">
        <f>D3/C3</f>
        <v>0</v>
      </c>
      <c r="F3">
        <v>-4.872319574598052</v>
      </c>
      <c r="G3">
        <v>-4.900977540298599</v>
      </c>
      <c r="H3">
        <v>-5.043871241214943</v>
      </c>
      <c r="I3">
        <v>-4.607168110752299</v>
      </c>
      <c r="J3" s="1">
        <f>IF(H3=0, "", (I3-H3)/H3)</f>
        <v>0</v>
      </c>
      <c r="K3">
        <v>-57.75684094467103</v>
      </c>
      <c r="L3">
        <v>-75.38179360753549</v>
      </c>
      <c r="M3">
        <v>-70.7312131107573</v>
      </c>
      <c r="N3">
        <v>-65.30678049857676</v>
      </c>
      <c r="O3" s="1">
        <f>IF(M3=0, "", (N3-M3)/M3)</f>
        <v>0</v>
      </c>
      <c r="P3" t="s">
        <v>49</v>
      </c>
      <c r="Q3" t="s">
        <v>47</v>
      </c>
      <c r="R3" t="s">
        <v>46</v>
      </c>
      <c r="S3" t="s">
        <v>48</v>
      </c>
      <c r="T3" s="1">
        <f>IF(R3=0, "", (S3-R3)/R3)</f>
        <v>0</v>
      </c>
      <c r="U3">
        <v>0.2597743074398098</v>
      </c>
      <c r="V3">
        <v>0.2654373480897447</v>
      </c>
      <c r="W3">
        <v>0.2711777124398648</v>
      </c>
      <c r="X3">
        <v>0.2534217813545287</v>
      </c>
      <c r="Y3" s="1">
        <f>IF(W3=0, "", (X3-W3)/W3)</f>
        <v>0</v>
      </c>
      <c r="Z3">
        <v>0</v>
      </c>
      <c r="AA3">
        <v>1429.45</v>
      </c>
      <c r="AB3">
        <v>1468.64</v>
      </c>
      <c r="AC3">
        <v>1265.28</v>
      </c>
      <c r="AD3" s="1">
        <f>IF(AB3=0, "", (AC3-AB3)/AB3)</f>
        <v>0</v>
      </c>
      <c r="AE3">
        <v>18411.1</v>
      </c>
      <c r="AF3">
        <v>18567</v>
      </c>
      <c r="AG3">
        <v>18578</v>
      </c>
      <c r="AH3">
        <v>17763.6</v>
      </c>
      <c r="AI3" s="1">
        <f>IF(AG3=0, "", (AH3-AG3)/AG3)</f>
        <v>0</v>
      </c>
      <c r="AJ3">
        <v>0.01622287929058075</v>
      </c>
      <c r="AK3">
        <v>0.0196678526699543</v>
      </c>
      <c r="AL3">
        <v>0.01803777180612087</v>
      </c>
      <c r="AM3">
        <v>0.01884755864739418</v>
      </c>
      <c r="AN3" s="1">
        <f>IF(AL3=0, "", (AM3-AL3)/AL3)</f>
        <v>0</v>
      </c>
      <c r="AO3">
        <v>1</v>
      </c>
    </row>
    <row r="4" spans="1:41">
      <c r="A4" t="s">
        <v>50</v>
      </c>
      <c r="B4" t="s">
        <v>43</v>
      </c>
      <c r="C4">
        <v>301</v>
      </c>
      <c r="D4">
        <v>46</v>
      </c>
      <c r="E4">
        <f>D4/C4</f>
        <v>0</v>
      </c>
      <c r="F4">
        <v>-4.214860579853959</v>
      </c>
      <c r="G4">
        <v>-4.261475737351867</v>
      </c>
      <c r="H4">
        <v>-4.720028945735517</v>
      </c>
      <c r="I4">
        <v>-4.678725095337629</v>
      </c>
      <c r="J4" s="1">
        <f>IF(H4=0, "", (I4-H4)/H4)</f>
        <v>0</v>
      </c>
      <c r="K4">
        <v>-51.10498480160147</v>
      </c>
      <c r="L4">
        <v>-51.29974812369528</v>
      </c>
      <c r="M4">
        <v>-67.84421394486787</v>
      </c>
      <c r="N4">
        <v>-72.09463807783085</v>
      </c>
      <c r="O4" s="1">
        <f>IF(M4=0, "", (N4-M4)/M4)</f>
        <v>0</v>
      </c>
      <c r="P4" t="s">
        <v>53</v>
      </c>
      <c r="Q4" t="s">
        <v>52</v>
      </c>
      <c r="R4" t="s">
        <v>51</v>
      </c>
      <c r="S4" t="s">
        <v>49</v>
      </c>
      <c r="T4" s="1">
        <f>IF(R4=0, "", (S4-R4)/R4)</f>
        <v>0</v>
      </c>
      <c r="U4">
        <v>0.2718839510254513</v>
      </c>
      <c r="V4">
        <v>0.2809531313038656</v>
      </c>
      <c r="W4">
        <v>0.3005839937609361</v>
      </c>
      <c r="X4">
        <v>0.2913949174036132</v>
      </c>
      <c r="Y4" s="1">
        <f>IF(W4=0, "", (X4-W4)/W4)</f>
        <v>0</v>
      </c>
      <c r="Z4">
        <v>0</v>
      </c>
      <c r="AA4">
        <v>1488.13</v>
      </c>
      <c r="AB4">
        <v>1953.48</v>
      </c>
      <c r="AC4">
        <v>1243.53</v>
      </c>
      <c r="AD4" s="1">
        <f>IF(AB4=0, "", (AC4-AB4)/AB4)</f>
        <v>0</v>
      </c>
      <c r="AE4">
        <v>19697.5</v>
      </c>
      <c r="AF4">
        <v>19596.6</v>
      </c>
      <c r="AG4">
        <v>19445.1</v>
      </c>
      <c r="AH4">
        <v>19148.7</v>
      </c>
      <c r="AI4" s="1">
        <f>IF(AG4=0, "", (AH4-AG4)/AG4)</f>
        <v>0</v>
      </c>
      <c r="AJ4">
        <v>0.01664032787084579</v>
      </c>
      <c r="AK4">
        <v>0.02050412818789482</v>
      </c>
      <c r="AL4">
        <v>0.01893785037100315</v>
      </c>
      <c r="AM4">
        <v>0.02093839831650257</v>
      </c>
      <c r="AN4" s="1">
        <f>IF(AL4=0, "", (AM4-AL4)/AL4)</f>
        <v>0</v>
      </c>
      <c r="AO4">
        <v>1</v>
      </c>
    </row>
    <row r="5" spans="1:41">
      <c r="A5" t="s">
        <v>54</v>
      </c>
      <c r="B5" t="s">
        <v>43</v>
      </c>
      <c r="C5">
        <v>1529</v>
      </c>
      <c r="D5">
        <v>697</v>
      </c>
      <c r="E5">
        <f>D5/C5</f>
        <v>0</v>
      </c>
      <c r="F5">
        <v>-9.727888103726809</v>
      </c>
      <c r="G5">
        <v>-9.940073934194192</v>
      </c>
      <c r="H5">
        <v>-9.073536845361138</v>
      </c>
      <c r="I5">
        <v>-9.304006717293579</v>
      </c>
      <c r="J5" s="1">
        <f>IF(H5=0, "", (I5-H5)/H5)</f>
        <v>0</v>
      </c>
      <c r="K5">
        <v>-279.4297494703958</v>
      </c>
      <c r="L5">
        <v>-733.2185057752138</v>
      </c>
      <c r="M5">
        <v>-455.5987076559539</v>
      </c>
      <c r="N5">
        <v>-238.9969676477671</v>
      </c>
      <c r="O5" s="1">
        <f>IF(M5=0, "", (N5-M5)/M5)</f>
        <v>0</v>
      </c>
      <c r="P5" t="s">
        <v>58</v>
      </c>
      <c r="Q5" t="s">
        <v>56</v>
      </c>
      <c r="R5" t="s">
        <v>55</v>
      </c>
      <c r="S5" t="s">
        <v>57</v>
      </c>
      <c r="T5" s="1">
        <f>IF(R5=0, "", (S5-R5)/R5)</f>
        <v>0</v>
      </c>
      <c r="U5">
        <v>0.2047291798316255</v>
      </c>
      <c r="V5">
        <v>0.2776069628246008</v>
      </c>
      <c r="W5">
        <v>0.260840396953831</v>
      </c>
      <c r="X5">
        <v>0.2279652695252504</v>
      </c>
      <c r="Y5" s="1">
        <f>IF(W5=0, "", (X5-W5)/W5)</f>
        <v>0</v>
      </c>
      <c r="Z5">
        <v>0</v>
      </c>
      <c r="AA5">
        <v>83439.11999999988</v>
      </c>
      <c r="AB5">
        <v>79433.86</v>
      </c>
      <c r="AC5">
        <v>39380.31000000003</v>
      </c>
      <c r="AD5" s="1">
        <f>IF(AB5=0, "", (AC5-AB5)/AB5)</f>
        <v>0</v>
      </c>
      <c r="AE5">
        <v>110588</v>
      </c>
      <c r="AF5">
        <v>111507</v>
      </c>
      <c r="AG5">
        <v>114467</v>
      </c>
      <c r="AH5">
        <v>116427</v>
      </c>
      <c r="AI5" s="1">
        <f>IF(AG5=0, "", (AH5-AG5)/AG5)</f>
        <v>0</v>
      </c>
      <c r="AJ5">
        <v>0.1058143675327301</v>
      </c>
      <c r="AK5">
        <v>0.2043433636426926</v>
      </c>
      <c r="AL5">
        <v>0.1677619367837906</v>
      </c>
      <c r="AM5">
        <v>0.162613108754158</v>
      </c>
      <c r="AN5" s="1">
        <f>IF(AL5=0, "", (AM5-AL5)/AL5)</f>
        <v>0</v>
      </c>
      <c r="AO5">
        <v>1</v>
      </c>
    </row>
    <row r="6" spans="1:41">
      <c r="A6" t="s">
        <v>59</v>
      </c>
      <c r="B6" t="s">
        <v>43</v>
      </c>
      <c r="C6">
        <v>378</v>
      </c>
      <c r="D6">
        <v>96</v>
      </c>
      <c r="E6">
        <f>D6/C6</f>
        <v>0</v>
      </c>
      <c r="F6">
        <v>-10.23295965815788</v>
      </c>
      <c r="G6">
        <v>-10.23259905770928</v>
      </c>
      <c r="H6">
        <v>-10.56911033052562</v>
      </c>
      <c r="I6">
        <v>-10.7420688717991</v>
      </c>
      <c r="J6" s="1">
        <f>IF(H6=0, "", (I6-H6)/H6)</f>
        <v>0</v>
      </c>
      <c r="K6">
        <v>-255.9317026303072</v>
      </c>
      <c r="L6">
        <v>-368.3834497272682</v>
      </c>
      <c r="M6">
        <v>-377.4193366883534</v>
      </c>
      <c r="N6">
        <v>-282.263507667589</v>
      </c>
      <c r="O6" s="1">
        <f>IF(M6=0, "", (N6-M6)/M6)</f>
        <v>0</v>
      </c>
      <c r="P6" t="s">
        <v>42</v>
      </c>
      <c r="Q6" t="s">
        <v>60</v>
      </c>
      <c r="R6" t="s">
        <v>60</v>
      </c>
      <c r="S6" t="s">
        <v>53</v>
      </c>
      <c r="T6" s="1">
        <f>IF(R6=0, "", (S6-R6)/R6)</f>
        <v>0</v>
      </c>
      <c r="U6">
        <v>0.1910418478012428</v>
      </c>
      <c r="V6">
        <v>0.2113699930279668</v>
      </c>
      <c r="W6">
        <v>0.2104639815448641</v>
      </c>
      <c r="X6">
        <v>0.2073320700008312</v>
      </c>
      <c r="Y6" s="1">
        <f>IF(W6=0, "", (X6-W6)/W6)</f>
        <v>0</v>
      </c>
      <c r="Z6">
        <v>0</v>
      </c>
      <c r="AA6">
        <v>4414.08</v>
      </c>
      <c r="AB6">
        <v>4398.85</v>
      </c>
      <c r="AC6">
        <v>3909.280000000001</v>
      </c>
      <c r="AD6" s="1">
        <f>IF(AB6=0, "", (AC6-AB6)/AB6)</f>
        <v>0</v>
      </c>
      <c r="AE6">
        <v>19473.6</v>
      </c>
      <c r="AF6">
        <v>19662.4</v>
      </c>
      <c r="AG6">
        <v>19934.6</v>
      </c>
      <c r="AH6">
        <v>19884.1</v>
      </c>
      <c r="AI6" s="1">
        <f>IF(AG6=0, "", (AH6-AG6)/AG6)</f>
        <v>0</v>
      </c>
      <c r="AJ6">
        <v>0.01926254853606224</v>
      </c>
      <c r="AK6">
        <v>0.02972172200679779</v>
      </c>
      <c r="AL6">
        <v>0.02669845521450043</v>
      </c>
      <c r="AM6">
        <v>0.02728485502302647</v>
      </c>
      <c r="AN6" s="1">
        <f>IF(AL6=0, "", (AM6-AL6)/AL6)</f>
        <v>0</v>
      </c>
      <c r="AO6">
        <v>1</v>
      </c>
    </row>
    <row r="7" spans="1:41">
      <c r="A7" t="s">
        <v>61</v>
      </c>
      <c r="B7" t="s">
        <v>43</v>
      </c>
      <c r="C7">
        <v>2158</v>
      </c>
      <c r="D7">
        <v>725</v>
      </c>
      <c r="E7">
        <f>D7/C7</f>
        <v>0</v>
      </c>
      <c r="F7">
        <v>-12.5780909248258</v>
      </c>
      <c r="G7">
        <v>-14.17543011984081</v>
      </c>
      <c r="H7">
        <v>-12.55849326744086</v>
      </c>
      <c r="I7">
        <v>-12.18863089402155</v>
      </c>
      <c r="J7" s="1">
        <f>IF(H7=0, "", (I7-H7)/H7)</f>
        <v>0</v>
      </c>
      <c r="K7">
        <v>-2025.531387504595</v>
      </c>
      <c r="L7">
        <v>-4035.843744986649</v>
      </c>
      <c r="M7">
        <v>-4080.487203180478</v>
      </c>
      <c r="N7">
        <v>-4067.084434128745</v>
      </c>
      <c r="O7" s="1">
        <f>IF(M7=0, "", (N7-M7)/M7)</f>
        <v>0</v>
      </c>
      <c r="P7" t="s">
        <v>65</v>
      </c>
      <c r="Q7" t="s">
        <v>63</v>
      </c>
      <c r="R7" t="s">
        <v>62</v>
      </c>
      <c r="S7" t="s">
        <v>64</v>
      </c>
      <c r="T7" s="1">
        <f>IF(R7=0, "", (S7-R7)/R7)</f>
        <v>0</v>
      </c>
      <c r="U7">
        <v>0.2267409672822491</v>
      </c>
      <c r="V7">
        <v>0.2923400457863459</v>
      </c>
      <c r="W7">
        <v>0.2733531113619789</v>
      </c>
      <c r="X7">
        <v>0.2471903804576287</v>
      </c>
      <c r="Y7" s="1">
        <f>IF(W7=0, "", (X7-W7)/W7)</f>
        <v>0</v>
      </c>
      <c r="Z7">
        <v>0</v>
      </c>
      <c r="AA7">
        <v>93214.96500000005</v>
      </c>
      <c r="AB7">
        <v>75430.21000000008</v>
      </c>
      <c r="AC7">
        <v>34382.66999999999</v>
      </c>
      <c r="AD7" s="1">
        <f>IF(AB7=0, "", (AC7-AB7)/AB7)</f>
        <v>0</v>
      </c>
      <c r="AE7">
        <v>126261</v>
      </c>
      <c r="AF7">
        <v>131932</v>
      </c>
      <c r="AG7">
        <v>131449</v>
      </c>
      <c r="AH7">
        <v>132393</v>
      </c>
      <c r="AI7" s="1">
        <f>IF(AG7=0, "", (AH7-AG7)/AG7)</f>
        <v>0</v>
      </c>
      <c r="AJ7">
        <v>0.1299737244844437</v>
      </c>
      <c r="AK7">
        <v>0.2313042283058167</v>
      </c>
      <c r="AL7">
        <v>0.2020695060491562</v>
      </c>
      <c r="AM7">
        <v>0.1894903630018234</v>
      </c>
      <c r="AN7" s="1">
        <f>IF(AL7=0, "", (AM7-AL7)/AL7)</f>
        <v>0</v>
      </c>
      <c r="AO7">
        <v>1</v>
      </c>
    </row>
    <row r="8" spans="1:41">
      <c r="A8" t="s">
        <v>66</v>
      </c>
      <c r="B8" t="s">
        <v>43</v>
      </c>
      <c r="C8">
        <v>16</v>
      </c>
      <c r="D8">
        <v>8</v>
      </c>
      <c r="E8">
        <f>D8/C8</f>
        <v>0</v>
      </c>
      <c r="F8">
        <v>0</v>
      </c>
      <c r="G8">
        <v>0</v>
      </c>
      <c r="H8">
        <v>0</v>
      </c>
      <c r="I8">
        <v>0</v>
      </c>
      <c r="J8" s="1">
        <f>IF(H8=0, "", (I8-H8)/H8)</f>
        <v>0</v>
      </c>
      <c r="K8">
        <v>0</v>
      </c>
      <c r="L8">
        <v>0</v>
      </c>
      <c r="M8">
        <v>0</v>
      </c>
      <c r="N8">
        <v>0</v>
      </c>
      <c r="O8" s="1">
        <f>IF(M8=0, "", (N8-M8)/M8)</f>
        <v>0</v>
      </c>
      <c r="P8" t="s">
        <v>67</v>
      </c>
      <c r="Q8" t="s">
        <v>67</v>
      </c>
      <c r="R8" t="s">
        <v>67</v>
      </c>
      <c r="S8" t="s">
        <v>67</v>
      </c>
      <c r="T8" s="1">
        <f>IF(R8=0, "", (S8-R8)/R8)</f>
        <v>0</v>
      </c>
      <c r="U8">
        <v>0.1658134489275633</v>
      </c>
      <c r="V8">
        <v>0.1728552452693921</v>
      </c>
      <c r="W8">
        <v>0.1745086646605059</v>
      </c>
      <c r="X8">
        <v>0.1745086646605059</v>
      </c>
      <c r="Y8" s="1">
        <f>IF(W8=0, "", (X8-W8)/W8)</f>
        <v>0</v>
      </c>
      <c r="Z8">
        <v>0</v>
      </c>
      <c r="AA8">
        <v>138.01</v>
      </c>
      <c r="AB8">
        <v>134.8</v>
      </c>
      <c r="AC8">
        <v>134.8</v>
      </c>
      <c r="AD8" s="1">
        <f>IF(AB8=0, "", (AC8-AB8)/AB8)</f>
        <v>0</v>
      </c>
      <c r="AE8">
        <v>1762.75</v>
      </c>
      <c r="AF8">
        <v>1841.77</v>
      </c>
      <c r="AG8">
        <v>1859.33</v>
      </c>
      <c r="AH8">
        <v>1859.33</v>
      </c>
      <c r="AI8" s="1">
        <f>IF(AG8=0, "", (AH8-AG8)/AG8)</f>
        <v>0</v>
      </c>
      <c r="AJ8">
        <v>0.002476490801200271</v>
      </c>
      <c r="AK8">
        <v>0.002671512309461832</v>
      </c>
      <c r="AL8">
        <v>0.002818799344822764</v>
      </c>
      <c r="AM8">
        <v>0.002818799344822764</v>
      </c>
      <c r="AN8" s="1">
        <f>IF(AL8=0, "", (AM8-AL8)/AL8)</f>
        <v>0</v>
      </c>
      <c r="AO8">
        <v>1</v>
      </c>
    </row>
    <row r="9" spans="1:41">
      <c r="A9" t="s">
        <v>68</v>
      </c>
      <c r="B9" t="s">
        <v>43</v>
      </c>
      <c r="C9">
        <v>70</v>
      </c>
      <c r="D9">
        <v>23</v>
      </c>
      <c r="E9">
        <f>D9/C9</f>
        <v>0</v>
      </c>
      <c r="F9">
        <v>0</v>
      </c>
      <c r="G9">
        <v>0</v>
      </c>
      <c r="H9">
        <v>0</v>
      </c>
      <c r="I9">
        <v>0</v>
      </c>
      <c r="J9" s="1">
        <f>IF(H9=0, "", (I9-H9)/H9)</f>
        <v>0</v>
      </c>
      <c r="K9">
        <v>0</v>
      </c>
      <c r="L9">
        <v>0</v>
      </c>
      <c r="M9">
        <v>0</v>
      </c>
      <c r="N9">
        <v>0</v>
      </c>
      <c r="O9" s="1">
        <f>IF(M9=0, "", (N9-M9)/M9)</f>
        <v>0</v>
      </c>
      <c r="P9" t="s">
        <v>70</v>
      </c>
      <c r="Q9" t="s">
        <v>69</v>
      </c>
      <c r="R9" t="s">
        <v>44</v>
      </c>
      <c r="S9" t="s">
        <v>70</v>
      </c>
      <c r="T9" s="1">
        <f>IF(R9=0, "", (S9-R9)/R9)</f>
        <v>0</v>
      </c>
      <c r="U9">
        <v>0.1702117872714621</v>
      </c>
      <c r="V9">
        <v>0.18910673048676</v>
      </c>
      <c r="W9">
        <v>0.1873624304621684</v>
      </c>
      <c r="X9">
        <v>0.1882934128314043</v>
      </c>
      <c r="Y9" s="1">
        <f>IF(W9=0, "", (X9-W9)/W9)</f>
        <v>0</v>
      </c>
      <c r="Z9">
        <v>0</v>
      </c>
      <c r="AA9">
        <v>1215.87</v>
      </c>
      <c r="AB9">
        <v>1151.47</v>
      </c>
      <c r="AC9">
        <v>929.8900000000001</v>
      </c>
      <c r="AD9" s="1">
        <f>IF(AB9=0, "", (AC9-AB9)/AB9)</f>
        <v>0</v>
      </c>
      <c r="AE9">
        <v>4469.43</v>
      </c>
      <c r="AF9">
        <v>4631.87</v>
      </c>
      <c r="AG9">
        <v>4636.26</v>
      </c>
      <c r="AH9">
        <v>4614.31</v>
      </c>
      <c r="AI9" s="1">
        <f>IF(AG9=0, "", (AH9-AG9)/AG9)</f>
        <v>0</v>
      </c>
      <c r="AJ9">
        <v>0.005653990898281336</v>
      </c>
      <c r="AK9">
        <v>0.008341924287378788</v>
      </c>
      <c r="AL9">
        <v>0.007901674136519432</v>
      </c>
      <c r="AM9">
        <v>0.007349793333560228</v>
      </c>
      <c r="AN9" s="1">
        <f>IF(AL9=0, "", (AM9-AL9)/AL9)</f>
        <v>0</v>
      </c>
      <c r="AO9">
        <v>1</v>
      </c>
    </row>
    <row r="10" spans="1:41">
      <c r="A10" t="s">
        <v>71</v>
      </c>
      <c r="B10" t="s">
        <v>43</v>
      </c>
      <c r="C10">
        <v>89</v>
      </c>
      <c r="D10">
        <v>35</v>
      </c>
      <c r="E10">
        <f>D10/C10</f>
        <v>0</v>
      </c>
      <c r="F10">
        <v>-0.2133306924827574</v>
      </c>
      <c r="G10">
        <v>-0.1205613420998026</v>
      </c>
      <c r="H10">
        <v>-0.2354978501085632</v>
      </c>
      <c r="I10">
        <v>-0.2413482815245894</v>
      </c>
      <c r="J10" s="1">
        <f>IF(H10=0, "", (I10-H10)/H10)</f>
        <v>0</v>
      </c>
      <c r="K10">
        <v>-0.3832454462258467</v>
      </c>
      <c r="L10">
        <v>-0.3858709017087332</v>
      </c>
      <c r="M10">
        <v>-1.546487426335313</v>
      </c>
      <c r="N10">
        <v>-0.5920117896806766</v>
      </c>
      <c r="O10" s="1">
        <f>IF(M10=0, "", (N10-M10)/M10)</f>
        <v>0</v>
      </c>
      <c r="P10" t="s">
        <v>69</v>
      </c>
      <c r="Q10" t="s">
        <v>69</v>
      </c>
      <c r="R10" t="s">
        <v>69</v>
      </c>
      <c r="S10" t="s">
        <v>69</v>
      </c>
      <c r="T10" s="1">
        <f>IF(R10=0, "", (S10-R10)/R10)</f>
        <v>0</v>
      </c>
      <c r="U10">
        <v>0.1742995934348434</v>
      </c>
      <c r="V10">
        <v>0.1898600340329918</v>
      </c>
      <c r="W10">
        <v>0.1833696367620774</v>
      </c>
      <c r="X10">
        <v>0.1857464589500836</v>
      </c>
      <c r="Y10" s="1">
        <f>IF(W10=0, "", (X10-W10)/W10)</f>
        <v>0</v>
      </c>
      <c r="Z10">
        <v>0</v>
      </c>
      <c r="AA10">
        <v>730.16</v>
      </c>
      <c r="AB10">
        <v>917.1900000000001</v>
      </c>
      <c r="AC10">
        <v>883.4400000000001</v>
      </c>
      <c r="AD10" s="1">
        <f>IF(AB10=0, "", (AC10-AB10)/AB10)</f>
        <v>0</v>
      </c>
      <c r="AE10">
        <v>6631.7</v>
      </c>
      <c r="AF10">
        <v>6811.71</v>
      </c>
      <c r="AG10">
        <v>6818.29</v>
      </c>
      <c r="AH10">
        <v>6846.83</v>
      </c>
      <c r="AI10" s="1">
        <f>IF(AG10=0, "", (AH10-AG10)/AG10)</f>
        <v>0</v>
      </c>
      <c r="AJ10">
        <v>0.007613769732415676</v>
      </c>
      <c r="AK10">
        <v>0.01209333539009094</v>
      </c>
      <c r="AL10">
        <v>0.01123387552797794</v>
      </c>
      <c r="AM10">
        <v>0.01270079705864191</v>
      </c>
      <c r="AN10" s="1">
        <f>IF(AL10=0, "", (AM10-AL10)/AL10)</f>
        <v>0</v>
      </c>
      <c r="AO10">
        <v>1</v>
      </c>
    </row>
    <row r="11" spans="1:41">
      <c r="A11" t="s">
        <v>72</v>
      </c>
      <c r="B11" t="s">
        <v>43</v>
      </c>
      <c r="C11">
        <v>88</v>
      </c>
      <c r="D11">
        <v>35</v>
      </c>
      <c r="E11">
        <f>D11/C11</f>
        <v>0</v>
      </c>
      <c r="F11">
        <v>-0.04251799033195559</v>
      </c>
      <c r="G11">
        <v>-0.2823608093925759</v>
      </c>
      <c r="H11">
        <v>-0.1710747147920236</v>
      </c>
      <c r="I11">
        <v>-0.02400923972036146</v>
      </c>
      <c r="J11" s="1">
        <f>IF(H11=0, "", (I11-H11)/H11)</f>
        <v>0</v>
      </c>
      <c r="K11">
        <v>-0.04251799033195559</v>
      </c>
      <c r="L11">
        <v>-3.132754588857202</v>
      </c>
      <c r="M11">
        <v>-0.2295230737102622</v>
      </c>
      <c r="N11">
        <v>-0.02400923972036146</v>
      </c>
      <c r="O11" s="1">
        <f>IF(M11=0, "", (N11-M11)/M11)</f>
        <v>0</v>
      </c>
      <c r="P11" t="s">
        <v>70</v>
      </c>
      <c r="Q11" t="s">
        <v>69</v>
      </c>
      <c r="R11" t="s">
        <v>69</v>
      </c>
      <c r="S11" t="s">
        <v>69</v>
      </c>
      <c r="T11" s="1">
        <f>IF(R11=0, "", (S11-R11)/R11)</f>
        <v>0</v>
      </c>
      <c r="U11">
        <v>0.1675083256578352</v>
      </c>
      <c r="V11">
        <v>0.186376396481498</v>
      </c>
      <c r="W11">
        <v>0.185795019558586</v>
      </c>
      <c r="X11">
        <v>0.182061057807457</v>
      </c>
      <c r="Y11" s="1">
        <f>IF(W11=0, "", (X11-W11)/W11)</f>
        <v>0</v>
      </c>
      <c r="Z11">
        <v>0</v>
      </c>
      <c r="AA11">
        <v>863.5900000000001</v>
      </c>
      <c r="AB11">
        <v>1011.7</v>
      </c>
      <c r="AC11">
        <v>901.52</v>
      </c>
      <c r="AD11" s="1">
        <f>IF(AB11=0, "", (AC11-AB11)/AB11)</f>
        <v>0</v>
      </c>
      <c r="AE11">
        <v>6620.72</v>
      </c>
      <c r="AF11">
        <v>6818.29</v>
      </c>
      <c r="AG11">
        <v>6802.92</v>
      </c>
      <c r="AH11">
        <v>6846.83</v>
      </c>
      <c r="AI11" s="1">
        <f>IF(AG11=0, "", (AH11-AG11)/AG11)</f>
        <v>0</v>
      </c>
      <c r="AJ11">
        <v>0.007602716330438852</v>
      </c>
      <c r="AK11">
        <v>0.01216847822070122</v>
      </c>
      <c r="AL11">
        <v>0.01160711515694857</v>
      </c>
      <c r="AM11">
        <v>0.01101669389754534</v>
      </c>
      <c r="AN11" s="1">
        <f>IF(AL11=0, "", (AM11-AL11)/AL11)</f>
        <v>0</v>
      </c>
      <c r="AO11">
        <v>1</v>
      </c>
    </row>
    <row r="12" spans="1:41">
      <c r="A12" t="s">
        <v>73</v>
      </c>
      <c r="B12" t="s">
        <v>43</v>
      </c>
      <c r="C12">
        <v>5255</v>
      </c>
      <c r="D12">
        <v>2083</v>
      </c>
      <c r="E12">
        <f>D12/C12</f>
        <v>0</v>
      </c>
      <c r="F12">
        <v>-3.964375606667511</v>
      </c>
      <c r="G12">
        <v>-4.86492193633115</v>
      </c>
      <c r="H12">
        <v>-3.936192816434943</v>
      </c>
      <c r="I12">
        <v>-3.66530816072788</v>
      </c>
      <c r="J12" s="1">
        <f>IF(H12=0, "", (I12-H12)/H12)</f>
        <v>0</v>
      </c>
      <c r="K12">
        <v>-1523.553394123967</v>
      </c>
      <c r="L12">
        <v>-3892.837977266851</v>
      </c>
      <c r="M12">
        <v>-2760.611628986991</v>
      </c>
      <c r="N12">
        <v>-2285.983847364758</v>
      </c>
      <c r="O12" s="1">
        <f>IF(M12=0, "", (N12-M12)/M12)</f>
        <v>0</v>
      </c>
      <c r="P12" t="s">
        <v>77</v>
      </c>
      <c r="Q12" t="s">
        <v>75</v>
      </c>
      <c r="R12" t="s">
        <v>74</v>
      </c>
      <c r="S12" t="s">
        <v>76</v>
      </c>
      <c r="T12" s="1">
        <f>IF(R12=0, "", (S12-R12)/R12)</f>
        <v>0</v>
      </c>
      <c r="U12">
        <v>0.2078082771439186</v>
      </c>
      <c r="V12">
        <v>0.2501610257426342</v>
      </c>
      <c r="W12">
        <v>0.2720489148117883</v>
      </c>
      <c r="X12">
        <v>0.2243248950873614</v>
      </c>
      <c r="Y12" s="1">
        <f>IF(W12=0, "", (X12-W12)/W12)</f>
        <v>0</v>
      </c>
      <c r="Z12">
        <v>0</v>
      </c>
      <c r="AA12">
        <v>193730.9800000002</v>
      </c>
      <c r="AB12">
        <v>312168.64</v>
      </c>
      <c r="AC12">
        <v>125833.83</v>
      </c>
      <c r="AD12" s="1">
        <f>IF(AB12=0, "", (AC12-AB12)/AB12)</f>
        <v>0</v>
      </c>
      <c r="AE12">
        <v>337718</v>
      </c>
      <c r="AF12">
        <v>338761</v>
      </c>
      <c r="AG12">
        <v>346420</v>
      </c>
      <c r="AH12">
        <v>344412</v>
      </c>
      <c r="AI12" s="1">
        <f>IF(AG12=0, "", (AH12-AG12)/AG12)</f>
        <v>0</v>
      </c>
      <c r="AJ12">
        <v>0.3804080784320831</v>
      </c>
      <c r="AK12">
        <v>0.5091999173164368</v>
      </c>
      <c r="AL12">
        <v>0.6228892207145691</v>
      </c>
      <c r="AM12">
        <v>0.4838756918907166</v>
      </c>
      <c r="AN12" s="1">
        <f>IF(AL12=0, "", (AM12-AL12)/AL12)</f>
        <v>0</v>
      </c>
      <c r="AO12">
        <v>1</v>
      </c>
    </row>
    <row r="13" spans="1:41">
      <c r="A13" t="s">
        <v>78</v>
      </c>
      <c r="B13" t="s">
        <v>43</v>
      </c>
      <c r="C13">
        <v>95</v>
      </c>
      <c r="D13">
        <v>30</v>
      </c>
      <c r="E13">
        <f>D13/C13</f>
        <v>0</v>
      </c>
      <c r="F13">
        <v>0</v>
      </c>
      <c r="G13">
        <v>0</v>
      </c>
      <c r="H13">
        <v>-0.1382289877241527</v>
      </c>
      <c r="I13">
        <v>-0.2286002563060947</v>
      </c>
      <c r="J13" s="1">
        <f>IF(H13=0, "", (I13-H13)/H13)</f>
        <v>0</v>
      </c>
      <c r="K13">
        <v>0</v>
      </c>
      <c r="L13">
        <v>0</v>
      </c>
      <c r="M13">
        <v>-0.8082583719977764</v>
      </c>
      <c r="N13">
        <v>-2.254364758678031</v>
      </c>
      <c r="O13" s="1">
        <f>IF(M13=0, "", (N13-M13)/M13)</f>
        <v>0</v>
      </c>
      <c r="P13" t="s">
        <v>69</v>
      </c>
      <c r="Q13" t="s">
        <v>70</v>
      </c>
      <c r="R13" t="s">
        <v>44</v>
      </c>
      <c r="S13" t="s">
        <v>69</v>
      </c>
      <c r="T13" s="1">
        <f>IF(R13=0, "", (S13-R13)/R13)</f>
        <v>0</v>
      </c>
      <c r="U13">
        <v>0.1639994996478182</v>
      </c>
      <c r="V13">
        <v>0.1823573477356157</v>
      </c>
      <c r="W13">
        <v>0.1771915654191474</v>
      </c>
      <c r="X13">
        <v>0.17587078217758</v>
      </c>
      <c r="Y13" s="1">
        <f>IF(W13=0, "", (X13-W13)/W13)</f>
        <v>0</v>
      </c>
      <c r="Z13">
        <v>0</v>
      </c>
      <c r="AA13">
        <v>1219.63</v>
      </c>
      <c r="AB13">
        <v>1107.41</v>
      </c>
      <c r="AC13">
        <v>1203.34</v>
      </c>
      <c r="AD13" s="1">
        <f>IF(AB13=0, "", (AC13-AB13)/AB13)</f>
        <v>0</v>
      </c>
      <c r="AE13">
        <v>5498.98</v>
      </c>
      <c r="AF13">
        <v>5683.37</v>
      </c>
      <c r="AG13">
        <v>5714.11</v>
      </c>
      <c r="AH13">
        <v>5689.96</v>
      </c>
      <c r="AI13" s="1">
        <f>IF(AG13=0, "", (AH13-AG13)/AG13)</f>
        <v>0</v>
      </c>
      <c r="AJ13">
        <v>0.006331587675958872</v>
      </c>
      <c r="AK13">
        <v>0.007413554005324841</v>
      </c>
      <c r="AL13">
        <v>0.007702021393924952</v>
      </c>
      <c r="AM13">
        <v>0.008333728648722172</v>
      </c>
      <c r="AN13" s="1">
        <f>IF(AL13=0, "", (AM13-AL13)/AL13)</f>
        <v>0</v>
      </c>
      <c r="AO13">
        <v>1</v>
      </c>
    </row>
    <row r="14" spans="1:41">
      <c r="A14" t="s">
        <v>79</v>
      </c>
      <c r="B14" t="s">
        <v>43</v>
      </c>
      <c r="C14">
        <v>6650</v>
      </c>
      <c r="D14">
        <v>1612</v>
      </c>
      <c r="E14">
        <f>D14/C14</f>
        <v>0</v>
      </c>
      <c r="F14">
        <v>-9.485360321227498</v>
      </c>
      <c r="G14">
        <v>-10.26259462014773</v>
      </c>
      <c r="H14">
        <v>-9.925397673571995</v>
      </c>
      <c r="I14">
        <v>-9.22422697666611</v>
      </c>
      <c r="J14" s="1">
        <f>IF(H14=0, "", (I14-H14)/H14)</f>
        <v>0</v>
      </c>
      <c r="K14">
        <v>-1476.970552110595</v>
      </c>
      <c r="L14">
        <v>-7346.03302447298</v>
      </c>
      <c r="M14">
        <v>-6578.288052478912</v>
      </c>
      <c r="N14">
        <v>-5257.166925256121</v>
      </c>
      <c r="O14" s="1">
        <f>IF(M14=0, "", (N14-M14)/M14)</f>
        <v>0</v>
      </c>
      <c r="P14" t="s">
        <v>83</v>
      </c>
      <c r="Q14" t="s">
        <v>81</v>
      </c>
      <c r="R14" t="s">
        <v>80</v>
      </c>
      <c r="S14" t="s">
        <v>82</v>
      </c>
      <c r="T14" s="1">
        <f>IF(R14=0, "", (S14-R14)/R14)</f>
        <v>0</v>
      </c>
      <c r="U14">
        <v>0.2298279281655992</v>
      </c>
      <c r="V14">
        <v>0.3716821414002385</v>
      </c>
      <c r="W14">
        <v>0.309378417799504</v>
      </c>
      <c r="X14">
        <v>0.2465368032914483</v>
      </c>
      <c r="Y14" s="1">
        <f>IF(W14=0, "", (X14-W14)/W14)</f>
        <v>0</v>
      </c>
      <c r="Z14">
        <v>0</v>
      </c>
      <c r="AA14">
        <v>425575.86</v>
      </c>
      <c r="AB14">
        <v>349539.1900000001</v>
      </c>
      <c r="AC14">
        <v>113414.3100000001</v>
      </c>
      <c r="AD14" s="1">
        <f>IF(AB14=0, "", (AC14-AB14)/AB14)</f>
        <v>0</v>
      </c>
      <c r="AE14">
        <v>297127</v>
      </c>
      <c r="AF14">
        <v>300949</v>
      </c>
      <c r="AG14">
        <v>301928</v>
      </c>
      <c r="AH14">
        <v>300187</v>
      </c>
      <c r="AI14" s="1">
        <f>IF(AG14=0, "", (AH14-AG14)/AG14)</f>
        <v>0</v>
      </c>
      <c r="AJ14">
        <v>0.3288266658782959</v>
      </c>
      <c r="AK14">
        <v>0.7615094780921936</v>
      </c>
      <c r="AL14">
        <v>0.625966489315033</v>
      </c>
      <c r="AM14">
        <v>0.5539573431015015</v>
      </c>
      <c r="AN14" s="1">
        <f>IF(AL14=0, "", (AM14-AL14)/AL14)</f>
        <v>0</v>
      </c>
      <c r="AO14">
        <v>1</v>
      </c>
    </row>
    <row r="15" spans="1:41">
      <c r="A15" t="s">
        <v>84</v>
      </c>
      <c r="B15" t="s">
        <v>43</v>
      </c>
      <c r="C15">
        <v>78</v>
      </c>
      <c r="D15">
        <v>20</v>
      </c>
      <c r="E15">
        <f>D15/C15</f>
        <v>0</v>
      </c>
      <c r="F15">
        <v>-0.4508695766575158</v>
      </c>
      <c r="G15">
        <v>-0.4033768988561261</v>
      </c>
      <c r="H15">
        <v>-0.4410356649164741</v>
      </c>
      <c r="I15">
        <v>-0.4348157512674029</v>
      </c>
      <c r="J15" s="1">
        <f>IF(H15=0, "", (I15-H15)/H15)</f>
        <v>0</v>
      </c>
      <c r="K15">
        <v>-0.5695399868482977</v>
      </c>
      <c r="L15">
        <v>-2.939399917776881</v>
      </c>
      <c r="M15">
        <v>-3.398743604976419</v>
      </c>
      <c r="N15">
        <v>-1.226232483594512</v>
      </c>
      <c r="O15" s="1">
        <f>IF(M15=0, "", (N15-M15)/M15)</f>
        <v>0</v>
      </c>
      <c r="P15" t="s">
        <v>69</v>
      </c>
      <c r="Q15" t="s">
        <v>69</v>
      </c>
      <c r="R15" t="s">
        <v>44</v>
      </c>
      <c r="S15" t="s">
        <v>42</v>
      </c>
      <c r="T15" s="1">
        <f>IF(R15=0, "", (S15-R15)/R15)</f>
        <v>0</v>
      </c>
      <c r="U15">
        <v>0.1878935380105445</v>
      </c>
      <c r="V15">
        <v>0.2083815994622914</v>
      </c>
      <c r="W15">
        <v>0.2029419817010207</v>
      </c>
      <c r="X15">
        <v>0.205942640966921</v>
      </c>
      <c r="Y15" s="1">
        <f>IF(W15=0, "", (X15-W15)/W15)</f>
        <v>0</v>
      </c>
      <c r="Z15">
        <v>0</v>
      </c>
      <c r="AA15">
        <v>676.84</v>
      </c>
      <c r="AB15">
        <v>654.5599999999999</v>
      </c>
      <c r="AC15">
        <v>860.3600000000001</v>
      </c>
      <c r="AD15" s="1">
        <f>IF(AB15=0, "", (AC15-AB15)/AB15)</f>
        <v>0</v>
      </c>
      <c r="AE15">
        <v>5044.57</v>
      </c>
      <c r="AF15">
        <v>5222.38</v>
      </c>
      <c r="AG15">
        <v>5209.21</v>
      </c>
      <c r="AH15">
        <v>5303.6</v>
      </c>
      <c r="AI15" s="1">
        <f>IF(AG15=0, "", (AH15-AG15)/AG15)</f>
        <v>0</v>
      </c>
      <c r="AJ15">
        <v>0.005421246401965618</v>
      </c>
      <c r="AK15">
        <v>0.00779690919443965</v>
      </c>
      <c r="AL15">
        <v>0.00727936252951622</v>
      </c>
      <c r="AM15">
        <v>0.006640648003667593</v>
      </c>
      <c r="AN15" s="1">
        <f>IF(AL15=0, "", (AM15-AL15)/AL15)</f>
        <v>0</v>
      </c>
      <c r="AO15">
        <v>1</v>
      </c>
    </row>
    <row r="16" spans="1:41">
      <c r="A16" t="s">
        <v>85</v>
      </c>
      <c r="B16" t="s">
        <v>43</v>
      </c>
      <c r="C16">
        <v>97</v>
      </c>
      <c r="D16">
        <v>30</v>
      </c>
      <c r="E16">
        <f>D16/C16</f>
        <v>0</v>
      </c>
      <c r="F16">
        <v>0</v>
      </c>
      <c r="G16">
        <v>-0.1354116856971851</v>
      </c>
      <c r="H16">
        <v>-0.2674518460178353</v>
      </c>
      <c r="I16">
        <v>0</v>
      </c>
      <c r="J16" s="1">
        <f>IF(H16=0, "", (I16-H16)/H16)</f>
        <v>0</v>
      </c>
      <c r="K16">
        <v>0</v>
      </c>
      <c r="L16">
        <v>-1.391862664519791</v>
      </c>
      <c r="M16">
        <v>-2.912702161904051</v>
      </c>
      <c r="N16">
        <v>0</v>
      </c>
      <c r="O16" s="1">
        <f>IF(M16=0, "", (N16-M16)/M16)</f>
        <v>0</v>
      </c>
      <c r="P16" t="s">
        <v>69</v>
      </c>
      <c r="Q16" t="s">
        <v>70</v>
      </c>
      <c r="R16" t="s">
        <v>70</v>
      </c>
      <c r="S16" t="s">
        <v>70</v>
      </c>
      <c r="T16" s="1">
        <f>IF(R16=0, "", (S16-R16)/R16)</f>
        <v>0</v>
      </c>
      <c r="U16">
        <v>0.165302983506261</v>
      </c>
      <c r="V16">
        <v>0.1771125430265095</v>
      </c>
      <c r="W16">
        <v>0.1754531418905967</v>
      </c>
      <c r="X16">
        <v>0.1747191196855763</v>
      </c>
      <c r="Y16" s="1">
        <f>IF(W16=0, "", (X16-W16)/W16)</f>
        <v>0</v>
      </c>
      <c r="Z16">
        <v>0</v>
      </c>
      <c r="AA16">
        <v>1160.07</v>
      </c>
      <c r="AB16">
        <v>979.2199999999998</v>
      </c>
      <c r="AC16">
        <v>1217.24</v>
      </c>
      <c r="AD16" s="1">
        <f>IF(AB16=0, "", (AC16-AB16)/AB16)</f>
        <v>0</v>
      </c>
      <c r="AE16">
        <v>5551.66</v>
      </c>
      <c r="AF16">
        <v>5755.81</v>
      </c>
      <c r="AG16">
        <v>5790.94</v>
      </c>
      <c r="AH16">
        <v>5753.62</v>
      </c>
      <c r="AI16" s="1">
        <f>IF(AG16=0, "", (AH16-AG16)/AG16)</f>
        <v>0</v>
      </c>
      <c r="AJ16">
        <v>0.006626770831644535</v>
      </c>
      <c r="AK16">
        <v>0.008307363837957382</v>
      </c>
      <c r="AL16">
        <v>0.008525134064257145</v>
      </c>
      <c r="AM16">
        <v>0.008992577902972698</v>
      </c>
      <c r="AN16" s="1">
        <f>IF(AL16=0, "", (AM16-AL16)/AL16)</f>
        <v>0</v>
      </c>
      <c r="AO16">
        <v>1</v>
      </c>
    </row>
    <row r="17" spans="1:41">
      <c r="A17" t="s">
        <v>86</v>
      </c>
      <c r="B17" t="s">
        <v>43</v>
      </c>
      <c r="C17">
        <v>82</v>
      </c>
      <c r="D17">
        <v>35</v>
      </c>
      <c r="E17">
        <f>D17/C17</f>
        <v>0</v>
      </c>
      <c r="F17">
        <v>-0.2619051716299373</v>
      </c>
      <c r="G17">
        <v>-0.3216813573231811</v>
      </c>
      <c r="H17">
        <v>-0.2004938494197808</v>
      </c>
      <c r="I17">
        <v>-0.1595061905482492</v>
      </c>
      <c r="J17" s="1">
        <f>IF(H17=0, "", (I17-H17)/H17)</f>
        <v>0</v>
      </c>
      <c r="K17">
        <v>-0.520786983833709</v>
      </c>
      <c r="L17">
        <v>-0.3216813573231811</v>
      </c>
      <c r="M17">
        <v>-1.843623972335906</v>
      </c>
      <c r="N17">
        <v>-1.549799443756045</v>
      </c>
      <c r="O17" s="1">
        <f>IF(M17=0, "", (N17-M17)/M17)</f>
        <v>0</v>
      </c>
      <c r="P17" t="s">
        <v>69</v>
      </c>
      <c r="Q17" t="s">
        <v>69</v>
      </c>
      <c r="R17" t="s">
        <v>70</v>
      </c>
      <c r="S17" t="s">
        <v>69</v>
      </c>
      <c r="T17" s="1">
        <f>IF(R17=0, "", (S17-R17)/R17)</f>
        <v>0</v>
      </c>
      <c r="U17">
        <v>0.1735234637804251</v>
      </c>
      <c r="V17">
        <v>0.1845767049627831</v>
      </c>
      <c r="W17">
        <v>0.1889972753155083</v>
      </c>
      <c r="X17">
        <v>0.1872537205387931</v>
      </c>
      <c r="Y17" s="1">
        <f>IF(W17=0, "", (X17-W17)/W17)</f>
        <v>0</v>
      </c>
      <c r="Z17">
        <v>0</v>
      </c>
      <c r="AA17">
        <v>1153.61</v>
      </c>
      <c r="AB17">
        <v>1081.83</v>
      </c>
      <c r="AC17">
        <v>1196.58</v>
      </c>
      <c r="AD17" s="1">
        <f>IF(AB17=0, "", (AC17-AB17)/AB17)</f>
        <v>0</v>
      </c>
      <c r="AE17">
        <v>7485.63</v>
      </c>
      <c r="AF17">
        <v>7555.88</v>
      </c>
      <c r="AG17">
        <v>7768.81</v>
      </c>
      <c r="AH17">
        <v>7731.49</v>
      </c>
      <c r="AI17" s="1">
        <f>IF(AG17=0, "", (AH17-AG17)/AG17)</f>
        <v>0</v>
      </c>
      <c r="AJ17">
        <v>0.007417815737426281</v>
      </c>
      <c r="AK17">
        <v>0.01120431814342737</v>
      </c>
      <c r="AL17">
        <v>0.01181659568101168</v>
      </c>
      <c r="AM17">
        <v>0.01044307556003332</v>
      </c>
      <c r="AN17" s="1">
        <f>IF(AL17=0, "", (AM17-AL17)/AL17)</f>
        <v>0</v>
      </c>
      <c r="AO17">
        <v>1</v>
      </c>
    </row>
    <row r="18" spans="1:41">
      <c r="A18" t="s">
        <v>87</v>
      </c>
      <c r="B18" t="s">
        <v>43</v>
      </c>
      <c r="C18">
        <v>98</v>
      </c>
      <c r="D18">
        <v>30</v>
      </c>
      <c r="E18">
        <f>D18/C18</f>
        <v>0</v>
      </c>
      <c r="F18">
        <v>0</v>
      </c>
      <c r="G18">
        <v>0</v>
      </c>
      <c r="H18">
        <v>-0.09485834608517031</v>
      </c>
      <c r="I18">
        <v>0</v>
      </c>
      <c r="J18" s="1">
        <f>IF(H18=0, "", (I18-H18)/H18)</f>
        <v>0</v>
      </c>
      <c r="K18">
        <v>0</v>
      </c>
      <c r="L18">
        <v>0</v>
      </c>
      <c r="M18">
        <v>-0.5460601014810487</v>
      </c>
      <c r="N18">
        <v>0</v>
      </c>
      <c r="O18" s="1">
        <f>IF(M18=0, "", (N18-M18)/M18)</f>
        <v>0</v>
      </c>
      <c r="P18" t="s">
        <v>70</v>
      </c>
      <c r="Q18" t="s">
        <v>69</v>
      </c>
      <c r="R18" t="s">
        <v>69</v>
      </c>
      <c r="S18" t="s">
        <v>70</v>
      </c>
      <c r="T18" s="1">
        <f>IF(R18=0, "", (S18-R18)/R18)</f>
        <v>0</v>
      </c>
      <c r="U18">
        <v>0.1627524143856365</v>
      </c>
      <c r="V18">
        <v>0.1764054114664897</v>
      </c>
      <c r="W18">
        <v>0.1800867580488309</v>
      </c>
      <c r="X18">
        <v>0.175671240505428</v>
      </c>
      <c r="Y18" s="1">
        <f>IF(W18=0, "", (X18-W18)/W18)</f>
        <v>0</v>
      </c>
      <c r="Z18">
        <v>0</v>
      </c>
      <c r="AA18">
        <v>1145.16</v>
      </c>
      <c r="AB18">
        <v>1128.51</v>
      </c>
      <c r="AC18">
        <v>1353.88</v>
      </c>
      <c r="AD18" s="1">
        <f>IF(AB18=0, "", (AC18-AB18)/AB18)</f>
        <v>0</v>
      </c>
      <c r="AE18">
        <v>5547.27</v>
      </c>
      <c r="AF18">
        <v>5766.79</v>
      </c>
      <c r="AG18">
        <v>5762.4</v>
      </c>
      <c r="AH18">
        <v>5784.35</v>
      </c>
      <c r="AI18" s="1">
        <f>IF(AG18=0, "", (AH18-AG18)/AG18)</f>
        <v>0</v>
      </c>
      <c r="AJ18">
        <v>0.006329345516860485</v>
      </c>
      <c r="AK18">
        <v>0.007492381148040295</v>
      </c>
      <c r="AL18">
        <v>0.008229798637330532</v>
      </c>
      <c r="AM18">
        <v>0.007788534741848707</v>
      </c>
      <c r="AN18" s="1">
        <f>IF(AL18=0, "", (AM18-AL18)/AL18)</f>
        <v>0</v>
      </c>
      <c r="AO18">
        <v>1</v>
      </c>
    </row>
    <row r="19" spans="1:41">
      <c r="A19" t="s">
        <v>88</v>
      </c>
      <c r="B19" t="s">
        <v>43</v>
      </c>
      <c r="C19">
        <v>137</v>
      </c>
      <c r="D19">
        <v>32</v>
      </c>
      <c r="E19">
        <f>D19/C19</f>
        <v>0</v>
      </c>
      <c r="F19">
        <v>-0.3883515841051142</v>
      </c>
      <c r="G19">
        <v>-0.08878142916571512</v>
      </c>
      <c r="H19">
        <v>-0.1872448915584079</v>
      </c>
      <c r="I19">
        <v>0</v>
      </c>
      <c r="J19" s="1">
        <f>IF(H19=0, "", (I19-H19)/H19)</f>
        <v>0</v>
      </c>
      <c r="K19">
        <v>-0.7703811140400029</v>
      </c>
      <c r="L19">
        <v>-0.08878142916571512</v>
      </c>
      <c r="M19">
        <v>-0.2495816957080664</v>
      </c>
      <c r="N19">
        <v>0</v>
      </c>
      <c r="O19" s="1">
        <f>IF(M19=0, "", (N19-M19)/M19)</f>
        <v>0</v>
      </c>
      <c r="P19" t="s">
        <v>44</v>
      </c>
      <c r="Q19" t="s">
        <v>42</v>
      </c>
      <c r="R19" t="s">
        <v>42</v>
      </c>
      <c r="S19" t="s">
        <v>42</v>
      </c>
      <c r="T19" s="1">
        <f>IF(R19=0, "", (S19-R19)/R19)</f>
        <v>0</v>
      </c>
      <c r="U19">
        <v>0.1957771596971457</v>
      </c>
      <c r="V19">
        <v>0.2123785893979343</v>
      </c>
      <c r="W19">
        <v>0.2051007910320221</v>
      </c>
      <c r="X19">
        <v>0.1987717705516981</v>
      </c>
      <c r="Y19" s="1">
        <f>IF(W19=0, "", (X19-W19)/W19)</f>
        <v>0</v>
      </c>
      <c r="Z19">
        <v>0</v>
      </c>
      <c r="AA19">
        <v>783.5699999999999</v>
      </c>
      <c r="AB19">
        <v>474.31</v>
      </c>
      <c r="AC19">
        <v>513.0500000000002</v>
      </c>
      <c r="AD19" s="1">
        <f>IF(AB19=0, "", (AC19-AB19)/AB19)</f>
        <v>0</v>
      </c>
      <c r="AE19">
        <v>8273.709999999999</v>
      </c>
      <c r="AF19">
        <v>8379.08</v>
      </c>
      <c r="AG19">
        <v>8405.42</v>
      </c>
      <c r="AH19">
        <v>8449.32</v>
      </c>
      <c r="AI19" s="1">
        <f>IF(AG19=0, "", (AH19-AG19)/AG19)</f>
        <v>0</v>
      </c>
      <c r="AJ19">
        <v>0.01523434650152922</v>
      </c>
      <c r="AK19">
        <v>0.01355597283691168</v>
      </c>
      <c r="AL19">
        <v>0.01554323546588421</v>
      </c>
      <c r="AM19">
        <v>0.01602326706051826</v>
      </c>
      <c r="AN19" s="1">
        <f>IF(AL19=0, "", (AM19-AL19)/AL19)</f>
        <v>0</v>
      </c>
      <c r="AO19">
        <v>1</v>
      </c>
    </row>
    <row r="20" spans="1:41">
      <c r="A20" t="s">
        <v>89</v>
      </c>
      <c r="B20" t="s">
        <v>43</v>
      </c>
      <c r="C20">
        <v>105</v>
      </c>
      <c r="D20">
        <v>30</v>
      </c>
      <c r="E20">
        <f>D20/C20</f>
        <v>0</v>
      </c>
      <c r="F20">
        <v>0</v>
      </c>
      <c r="G20">
        <v>0</v>
      </c>
      <c r="H20">
        <v>-0.1816840063153928</v>
      </c>
      <c r="I20">
        <v>-0.007703171651919759</v>
      </c>
      <c r="J20" s="1">
        <f>IF(H20=0, "", (I20-H20)/H20)</f>
        <v>0</v>
      </c>
      <c r="K20">
        <v>0</v>
      </c>
      <c r="L20">
        <v>0</v>
      </c>
      <c r="M20">
        <v>-1.087587828358183</v>
      </c>
      <c r="N20">
        <v>-0.04437339510318358</v>
      </c>
      <c r="O20" s="1">
        <f>IF(M20=0, "", (N20-M20)/M20)</f>
        <v>0</v>
      </c>
      <c r="P20" t="s">
        <v>70</v>
      </c>
      <c r="Q20" t="s">
        <v>69</v>
      </c>
      <c r="R20" t="s">
        <v>69</v>
      </c>
      <c r="S20" t="s">
        <v>69</v>
      </c>
      <c r="T20" s="1">
        <f>IF(R20=0, "", (S20-R20)/R20)</f>
        <v>0</v>
      </c>
      <c r="U20">
        <v>0.1651655094301565</v>
      </c>
      <c r="V20">
        <v>0.1835099327595586</v>
      </c>
      <c r="W20">
        <v>0.1806724641373672</v>
      </c>
      <c r="X20">
        <v>0.1803209799274454</v>
      </c>
      <c r="Y20" s="1">
        <f>IF(W20=0, "", (X20-W20)/W20)</f>
        <v>0</v>
      </c>
      <c r="Z20">
        <v>0</v>
      </c>
      <c r="AA20">
        <v>1467.65</v>
      </c>
      <c r="AB20">
        <v>1327</v>
      </c>
      <c r="AC20">
        <v>1243.599999999999</v>
      </c>
      <c r="AD20" s="1">
        <f>IF(AB20=0, "", (AC20-AB20)/AB20)</f>
        <v>0</v>
      </c>
      <c r="AE20">
        <v>5707.52</v>
      </c>
      <c r="AF20">
        <v>5927.04</v>
      </c>
      <c r="AG20">
        <v>5922.65</v>
      </c>
      <c r="AH20">
        <v>5922.65</v>
      </c>
      <c r="AI20" s="1">
        <f>IF(AG20=0, "", (AH20-AG20)/AG20)</f>
        <v>0</v>
      </c>
      <c r="AJ20">
        <v>0.006517155561596155</v>
      </c>
      <c r="AK20">
        <v>0.008376955054700375</v>
      </c>
      <c r="AL20">
        <v>0.007408749312162399</v>
      </c>
      <c r="AM20">
        <v>0.008679691702127457</v>
      </c>
      <c r="AN20" s="1">
        <f>IF(AL20=0, "", (AM20-AL20)/AL20)</f>
        <v>0</v>
      </c>
      <c r="AO20">
        <v>1</v>
      </c>
    </row>
    <row r="21" spans="1:41">
      <c r="A21" t="s">
        <v>90</v>
      </c>
      <c r="B21" t="s">
        <v>43</v>
      </c>
      <c r="C21">
        <v>719</v>
      </c>
      <c r="D21">
        <v>244</v>
      </c>
      <c r="E21">
        <f>D21/C21</f>
        <v>0</v>
      </c>
      <c r="F21">
        <v>-3.955913042445271</v>
      </c>
      <c r="G21">
        <v>-3.538809345724459</v>
      </c>
      <c r="H21">
        <v>-3.689704646250183</v>
      </c>
      <c r="I21">
        <v>-3.756691952736916</v>
      </c>
      <c r="J21" s="1">
        <f>IF(H21=0, "", (I21-H21)/H21)</f>
        <v>0</v>
      </c>
      <c r="K21">
        <v>-82.8528309411172</v>
      </c>
      <c r="L21">
        <v>-110.4557330197767</v>
      </c>
      <c r="M21">
        <v>-122.964966134311</v>
      </c>
      <c r="N21">
        <v>-128.1847695382327</v>
      </c>
      <c r="O21" s="1">
        <f>IF(M21=0, "", (N21-M21)/M21)</f>
        <v>0</v>
      </c>
      <c r="P21" t="s">
        <v>93</v>
      </c>
      <c r="Q21" t="s">
        <v>91</v>
      </c>
      <c r="R21" t="s">
        <v>51</v>
      </c>
      <c r="S21" t="s">
        <v>92</v>
      </c>
      <c r="T21" s="1">
        <f>IF(R21=0, "", (S21-R21)/R21)</f>
        <v>0</v>
      </c>
      <c r="U21">
        <v>0.2084555705155811</v>
      </c>
      <c r="V21">
        <v>0.2382899004959259</v>
      </c>
      <c r="W21">
        <v>0.2344242054383679</v>
      </c>
      <c r="X21">
        <v>0.2271466355763263</v>
      </c>
      <c r="Y21" s="1">
        <f>IF(W21=0, "", (X21-W21)/W21)</f>
        <v>0</v>
      </c>
      <c r="Z21">
        <v>0</v>
      </c>
      <c r="AA21">
        <v>15448.23</v>
      </c>
      <c r="AB21">
        <v>16476.76</v>
      </c>
      <c r="AC21">
        <v>13317.1</v>
      </c>
      <c r="AD21" s="1">
        <f>IF(AB21=0, "", (AC21-AB21)/AB21)</f>
        <v>0</v>
      </c>
      <c r="AE21">
        <v>46994.8</v>
      </c>
      <c r="AF21">
        <v>47407.5</v>
      </c>
      <c r="AG21">
        <v>48463.4</v>
      </c>
      <c r="AH21">
        <v>48338.3</v>
      </c>
      <c r="AI21" s="1">
        <f>IF(AG21=0, "", (AH21-AG21)/AG21)</f>
        <v>0</v>
      </c>
      <c r="AJ21">
        <v>0.05015921965241432</v>
      </c>
      <c r="AK21">
        <v>0.07497881352901459</v>
      </c>
      <c r="AL21">
        <v>0.06500628590583801</v>
      </c>
      <c r="AM21">
        <v>0.0696554109454155</v>
      </c>
      <c r="AN21" s="1">
        <f>IF(AL21=0, "", (AM21-AL21)/AL21)</f>
        <v>0</v>
      </c>
      <c r="AO21">
        <v>1</v>
      </c>
    </row>
    <row r="22" spans="1:41">
      <c r="A22" t="s">
        <v>94</v>
      </c>
      <c r="B22" t="s">
        <v>43</v>
      </c>
      <c r="C22">
        <v>125</v>
      </c>
      <c r="D22">
        <v>76</v>
      </c>
      <c r="E22">
        <f>D22/C22</f>
        <v>0</v>
      </c>
      <c r="F22">
        <v>-2.97875066377461</v>
      </c>
      <c r="G22">
        <v>-3.436514281520815</v>
      </c>
      <c r="H22">
        <v>-3.183826625791214</v>
      </c>
      <c r="I22">
        <v>-3.159367967777774</v>
      </c>
      <c r="J22" s="1">
        <f>IF(H22=0, "", (I22-H22)/H22)</f>
        <v>0</v>
      </c>
      <c r="K22">
        <v>-29.33001302624712</v>
      </c>
      <c r="L22">
        <v>-45.15760693196631</v>
      </c>
      <c r="M22">
        <v>-32.55586115061963</v>
      </c>
      <c r="N22">
        <v>-38.78427999647838</v>
      </c>
      <c r="O22" s="1">
        <f>IF(M22=0, "", (N22-M22)/M22)</f>
        <v>0</v>
      </c>
      <c r="P22" t="s">
        <v>44</v>
      </c>
      <c r="Q22" t="s">
        <v>60</v>
      </c>
      <c r="R22" t="s">
        <v>42</v>
      </c>
      <c r="S22" t="s">
        <v>42</v>
      </c>
      <c r="T22" s="1">
        <f>IF(R22=0, "", (S22-R22)/R22)</f>
        <v>0</v>
      </c>
      <c r="U22">
        <v>0.1852430769961241</v>
      </c>
      <c r="V22">
        <v>0.2017524303836413</v>
      </c>
      <c r="W22">
        <v>0.2032048893498153</v>
      </c>
      <c r="X22">
        <v>0.2056506548335414</v>
      </c>
      <c r="Y22" s="1">
        <f>IF(W22=0, "", (X22-W22)/W22)</f>
        <v>0</v>
      </c>
      <c r="Z22">
        <v>0</v>
      </c>
      <c r="AA22">
        <v>702.3699999999999</v>
      </c>
      <c r="AB22">
        <v>1421.71</v>
      </c>
      <c r="AC22">
        <v>1558.14</v>
      </c>
      <c r="AD22" s="1">
        <f>IF(AB22=0, "", (AC22-AB22)/AB22)</f>
        <v>0</v>
      </c>
      <c r="AE22">
        <v>15344.4</v>
      </c>
      <c r="AF22">
        <v>15959.1</v>
      </c>
      <c r="AG22">
        <v>15935</v>
      </c>
      <c r="AH22">
        <v>16084.2</v>
      </c>
      <c r="AI22" s="1">
        <f>IF(AG22=0, "", (AH22-AG22)/AG22)</f>
        <v>0</v>
      </c>
      <c r="AJ22">
        <v>0.01528325863182545</v>
      </c>
      <c r="AK22">
        <v>0.01820643246173859</v>
      </c>
      <c r="AL22">
        <v>0.01798894815146923</v>
      </c>
      <c r="AM22">
        <v>0.01776655204594135</v>
      </c>
      <c r="AN22" s="1">
        <f>IF(AL22=0, "", (AM22-AL22)/AL22)</f>
        <v>0</v>
      </c>
      <c r="AO22">
        <v>1</v>
      </c>
    </row>
    <row r="23" spans="1:41">
      <c r="A23" t="s">
        <v>95</v>
      </c>
      <c r="B23" t="s">
        <v>43</v>
      </c>
      <c r="C23">
        <v>126</v>
      </c>
      <c r="D23">
        <v>75</v>
      </c>
      <c r="E23">
        <f>D23/C23</f>
        <v>0</v>
      </c>
      <c r="F23">
        <v>-2.969335972259523</v>
      </c>
      <c r="G23">
        <v>-3.470001273425845</v>
      </c>
      <c r="H23">
        <v>-3.006976974750974</v>
      </c>
      <c r="I23">
        <v>-3.441616866686303</v>
      </c>
      <c r="J23" s="1">
        <f>IF(H23=0, "", (I23-H23)/H23)</f>
        <v>0</v>
      </c>
      <c r="K23">
        <v>-20.37688297993638</v>
      </c>
      <c r="L23">
        <v>-55.06775635799765</v>
      </c>
      <c r="M23">
        <v>-26.55529560299489</v>
      </c>
      <c r="N23">
        <v>-34.17495005939139</v>
      </c>
      <c r="O23" s="1">
        <f>IF(M23=0, "", (N23-M23)/M23)</f>
        <v>0</v>
      </c>
      <c r="P23" t="s">
        <v>42</v>
      </c>
      <c r="Q23" t="s">
        <v>96</v>
      </c>
      <c r="R23" t="s">
        <v>96</v>
      </c>
      <c r="S23" t="s">
        <v>42</v>
      </c>
      <c r="T23" s="1">
        <f>IF(R23=0, "", (S23-R23)/R23)</f>
        <v>0</v>
      </c>
      <c r="U23">
        <v>0.1830047222983402</v>
      </c>
      <c r="V23">
        <v>0.2054337167508818</v>
      </c>
      <c r="W23">
        <v>0.2037658115297802</v>
      </c>
      <c r="X23">
        <v>0.202387381340388</v>
      </c>
      <c r="Y23" s="1">
        <f>IF(W23=0, "", (X23-W23)/W23)</f>
        <v>0</v>
      </c>
      <c r="Z23">
        <v>0</v>
      </c>
      <c r="AA23">
        <v>829.4900000000001</v>
      </c>
      <c r="AB23">
        <v>1531.75</v>
      </c>
      <c r="AC23">
        <v>1253.14</v>
      </c>
      <c r="AD23" s="1">
        <f>IF(AB23=0, "", (AC23-AB23)/AB23)</f>
        <v>0</v>
      </c>
      <c r="AE23">
        <v>15168.8</v>
      </c>
      <c r="AF23">
        <v>15765.9</v>
      </c>
      <c r="AG23">
        <v>15491.5</v>
      </c>
      <c r="AH23">
        <v>15809.8</v>
      </c>
      <c r="AI23" s="1">
        <f>IF(AG23=0, "", (AH23-AG23)/AG23)</f>
        <v>0</v>
      </c>
      <c r="AJ23">
        <v>0.01523809507489204</v>
      </c>
      <c r="AK23">
        <v>0.0180065743625164</v>
      </c>
      <c r="AL23">
        <v>0.0181565098464489</v>
      </c>
      <c r="AM23">
        <v>0.01849415525794029</v>
      </c>
      <c r="AN23" s="1">
        <f>IF(AL23=0, "", (AM23-AL23)/AL23)</f>
        <v>0</v>
      </c>
      <c r="AO23">
        <v>1</v>
      </c>
    </row>
    <row r="24" spans="1:41">
      <c r="A24" t="s">
        <v>97</v>
      </c>
      <c r="B24" t="s">
        <v>43</v>
      </c>
      <c r="C24">
        <v>151</v>
      </c>
      <c r="D24">
        <v>42</v>
      </c>
      <c r="E24">
        <f>D24/C24</f>
        <v>0</v>
      </c>
      <c r="F24">
        <v>-0.5759473061492257</v>
      </c>
      <c r="G24">
        <v>-0.799303756917106</v>
      </c>
      <c r="H24">
        <v>-0.4722116165080842</v>
      </c>
      <c r="I24">
        <v>-0.5521032676196007</v>
      </c>
      <c r="J24" s="1">
        <f>IF(H24=0, "", (I24-H24)/H24)</f>
        <v>0</v>
      </c>
      <c r="K24">
        <v>-2.633770609486922</v>
      </c>
      <c r="L24">
        <v>-3.206358824757841</v>
      </c>
      <c r="M24">
        <v>-2.194328336700455</v>
      </c>
      <c r="N24">
        <v>-3.057092443499916</v>
      </c>
      <c r="O24" s="1">
        <f>IF(M24=0, "", (N24-M24)/M24)</f>
        <v>0</v>
      </c>
      <c r="P24" t="s">
        <v>96</v>
      </c>
      <c r="Q24" t="s">
        <v>96</v>
      </c>
      <c r="R24" t="s">
        <v>96</v>
      </c>
      <c r="S24" t="s">
        <v>96</v>
      </c>
      <c r="T24" s="1">
        <f>IF(R24=0, "", (S24-R24)/R24)</f>
        <v>0</v>
      </c>
      <c r="U24">
        <v>0.2041007031593381</v>
      </c>
      <c r="V24">
        <v>0.2250413408493656</v>
      </c>
      <c r="W24">
        <v>0.2257384371779906</v>
      </c>
      <c r="X24">
        <v>0.2173672568258397</v>
      </c>
      <c r="Y24" s="1">
        <f>IF(W24=0, "", (X24-W24)/W24)</f>
        <v>0</v>
      </c>
      <c r="Z24">
        <v>0</v>
      </c>
      <c r="AA24">
        <v>798.8500000000001</v>
      </c>
      <c r="AB24">
        <v>777.3699999999998</v>
      </c>
      <c r="AC24">
        <v>728.6999999999999</v>
      </c>
      <c r="AD24" s="1">
        <f>IF(AB24=0, "", (AC24-AB24)/AB24)</f>
        <v>0</v>
      </c>
      <c r="AE24">
        <v>11232.8</v>
      </c>
      <c r="AF24">
        <v>11480.9</v>
      </c>
      <c r="AG24">
        <v>11397.5</v>
      </c>
      <c r="AH24">
        <v>11120.9</v>
      </c>
      <c r="AI24" s="1">
        <f>IF(AG24=0, "", (AH24-AG24)/AG24)</f>
        <v>0</v>
      </c>
      <c r="AJ24">
        <v>0.01177194435149431</v>
      </c>
      <c r="AK24">
        <v>0.01715791597962379</v>
      </c>
      <c r="AL24">
        <v>0.01678126491606236</v>
      </c>
      <c r="AM24">
        <v>0.01287105958908796</v>
      </c>
      <c r="AN24" s="1">
        <f>IF(AL24=0, "", (AM24-AL24)/AL24)</f>
        <v>0</v>
      </c>
      <c r="AO24">
        <v>1</v>
      </c>
    </row>
    <row r="25" spans="1:41">
      <c r="A25" t="s">
        <v>98</v>
      </c>
      <c r="B25" t="s">
        <v>43</v>
      </c>
      <c r="C25">
        <v>158</v>
      </c>
      <c r="D25">
        <v>42</v>
      </c>
      <c r="E25">
        <f>D25/C25</f>
        <v>0</v>
      </c>
      <c r="F25">
        <v>-0.2576596786637</v>
      </c>
      <c r="G25">
        <v>-0.5011085022102876</v>
      </c>
      <c r="H25">
        <v>-0.5248361893636413</v>
      </c>
      <c r="I25">
        <v>-0.3472120467195184</v>
      </c>
      <c r="J25" s="1">
        <f>IF(H25=0, "", (I25-H25)/H25)</f>
        <v>0</v>
      </c>
      <c r="K25">
        <v>-1.335502413125323</v>
      </c>
      <c r="L25">
        <v>-2.286866760687757</v>
      </c>
      <c r="M25">
        <v>-2.452075056851747</v>
      </c>
      <c r="N25">
        <v>-1.495578814235147</v>
      </c>
      <c r="O25" s="1">
        <f>IF(M25=0, "", (N25-M25)/M25)</f>
        <v>0</v>
      </c>
      <c r="P25" t="s">
        <v>99</v>
      </c>
      <c r="Q25" t="s">
        <v>60</v>
      </c>
      <c r="R25" t="s">
        <v>96</v>
      </c>
      <c r="S25" t="s">
        <v>96</v>
      </c>
      <c r="T25" s="1">
        <f>IF(R25=0, "", (S25-R25)/R25)</f>
        <v>0</v>
      </c>
      <c r="U25">
        <v>0.2080716271142793</v>
      </c>
      <c r="V25">
        <v>0.2279514305888357</v>
      </c>
      <c r="W25">
        <v>0.219685523381553</v>
      </c>
      <c r="X25">
        <v>0.2155612594489133</v>
      </c>
      <c r="Y25" s="1">
        <f>IF(W25=0, "", (X25-W25)/W25)</f>
        <v>0</v>
      </c>
      <c r="Z25">
        <v>0</v>
      </c>
      <c r="AA25">
        <v>796.66</v>
      </c>
      <c r="AB25">
        <v>740.2999999999997</v>
      </c>
      <c r="AC25">
        <v>688.99</v>
      </c>
      <c r="AD25" s="1">
        <f>IF(AB25=0, "", (AC25-AB25)/AB25)</f>
        <v>0</v>
      </c>
      <c r="AE25">
        <v>11083.6</v>
      </c>
      <c r="AF25">
        <v>11480.9</v>
      </c>
      <c r="AG25">
        <v>11164.8</v>
      </c>
      <c r="AH25">
        <v>11336</v>
      </c>
      <c r="AI25" s="1">
        <f>IF(AG25=0, "", (AH25-AG25)/AG25)</f>
        <v>0</v>
      </c>
      <c r="AJ25">
        <v>0.01178851630538702</v>
      </c>
      <c r="AK25">
        <v>0.01704311743378639</v>
      </c>
      <c r="AL25">
        <v>0.01581229455769062</v>
      </c>
      <c r="AM25">
        <v>0.01392790675163269</v>
      </c>
      <c r="AN25" s="1">
        <f>IF(AL25=0, "", (AM25-AL25)/AL25)</f>
        <v>0</v>
      </c>
      <c r="AO25">
        <v>1</v>
      </c>
    </row>
    <row r="26" spans="1:41">
      <c r="A26" t="s">
        <v>100</v>
      </c>
      <c r="B26" t="s">
        <v>43</v>
      </c>
      <c r="C26">
        <v>169</v>
      </c>
      <c r="D26">
        <v>67</v>
      </c>
      <c r="E26">
        <f>D26/C26</f>
        <v>0</v>
      </c>
      <c r="F26">
        <v>-2.911534207249113</v>
      </c>
      <c r="G26">
        <v>-2.444444715832303</v>
      </c>
      <c r="H26">
        <v>-2.820316504609258</v>
      </c>
      <c r="I26">
        <v>-3.118312807344436</v>
      </c>
      <c r="J26" s="1">
        <f>IF(H26=0, "", (I26-H26)/H26)</f>
        <v>0</v>
      </c>
      <c r="K26">
        <v>-9.736598469735153</v>
      </c>
      <c r="L26">
        <v>-11.70298113764335</v>
      </c>
      <c r="M26">
        <v>-10.01443223359448</v>
      </c>
      <c r="N26">
        <v>-10.75776298491906</v>
      </c>
      <c r="O26" s="1">
        <f>IF(M26=0, "", (N26-M26)/M26)</f>
        <v>0</v>
      </c>
      <c r="P26" t="s">
        <v>44</v>
      </c>
      <c r="Q26" t="s">
        <v>44</v>
      </c>
      <c r="R26" t="s">
        <v>42</v>
      </c>
      <c r="S26" t="s">
        <v>60</v>
      </c>
      <c r="T26" s="1">
        <f>IF(R26=0, "", (S26-R26)/R26)</f>
        <v>0</v>
      </c>
      <c r="U26">
        <v>0.1726835910315717</v>
      </c>
      <c r="V26">
        <v>0.1857753079592446</v>
      </c>
      <c r="W26">
        <v>0.1900239019309325</v>
      </c>
      <c r="X26">
        <v>0.1847489393519812</v>
      </c>
      <c r="Y26" s="1">
        <f>IF(W26=0, "", (X26-W26)/W26)</f>
        <v>0</v>
      </c>
      <c r="Z26">
        <v>0</v>
      </c>
      <c r="AA26">
        <v>2247.98</v>
      </c>
      <c r="AB26">
        <v>2500.330000000001</v>
      </c>
      <c r="AC26">
        <v>2192.74</v>
      </c>
      <c r="AD26" s="1">
        <f>IF(AB26=0, "", (AC26-AB26)/AB26)</f>
        <v>0</v>
      </c>
      <c r="AE26">
        <v>13799</v>
      </c>
      <c r="AF26">
        <v>14308.3</v>
      </c>
      <c r="AG26">
        <v>14582.7</v>
      </c>
      <c r="AH26">
        <v>14354.4</v>
      </c>
      <c r="AI26" s="1">
        <f>IF(AG26=0, "", (AH26-AG26)/AG26)</f>
        <v>0</v>
      </c>
      <c r="AJ26">
        <v>0.01376556791365147</v>
      </c>
      <c r="AK26">
        <v>0.02157409302890301</v>
      </c>
      <c r="AL26">
        <v>0.01987539045512676</v>
      </c>
      <c r="AM26">
        <v>0.01912501826882362</v>
      </c>
      <c r="AN26" s="1">
        <f>IF(AL26=0, "", (AM26-AL26)/AL26)</f>
        <v>0</v>
      </c>
      <c r="AO26">
        <v>1</v>
      </c>
    </row>
    <row r="27" spans="1:41">
      <c r="A27" t="s">
        <v>101</v>
      </c>
      <c r="B27" t="s">
        <v>43</v>
      </c>
      <c r="C27">
        <v>606</v>
      </c>
      <c r="D27">
        <v>210</v>
      </c>
      <c r="E27">
        <f>D27/C27</f>
        <v>0</v>
      </c>
      <c r="F27">
        <v>-2.515453694317179</v>
      </c>
      <c r="G27">
        <v>-3.399677080521925</v>
      </c>
      <c r="H27">
        <v>-2.724935909598533</v>
      </c>
      <c r="I27">
        <v>-2.574845298743816</v>
      </c>
      <c r="J27" s="1">
        <f>IF(H27=0, "", (I27-H27)/H27)</f>
        <v>0</v>
      </c>
      <c r="K27">
        <v>-49.91352539230009</v>
      </c>
      <c r="L27">
        <v>-91.99070210395041</v>
      </c>
      <c r="M27">
        <v>-90.98728783498622</v>
      </c>
      <c r="N27">
        <v>-85.8439388315946</v>
      </c>
      <c r="O27" s="1">
        <f>IF(M27=0, "", (N27-M27)/M27)</f>
        <v>0</v>
      </c>
      <c r="P27" t="s">
        <v>92</v>
      </c>
      <c r="Q27" t="s">
        <v>48</v>
      </c>
      <c r="R27" t="s">
        <v>102</v>
      </c>
      <c r="S27" t="s">
        <v>46</v>
      </c>
      <c r="T27" s="1">
        <f>IF(R27=0, "", (S27-R27)/R27)</f>
        <v>0</v>
      </c>
      <c r="U27">
        <v>0.1981536437504072</v>
      </c>
      <c r="V27">
        <v>0.2368931343190318</v>
      </c>
      <c r="W27">
        <v>0.2202682631204743</v>
      </c>
      <c r="X27">
        <v>0.2119354324828918</v>
      </c>
      <c r="Y27" s="1">
        <f>IF(W27=0, "", (X27-W27)/W27)</f>
        <v>0</v>
      </c>
      <c r="Z27">
        <v>0</v>
      </c>
      <c r="AA27">
        <v>18140.54</v>
      </c>
      <c r="AB27">
        <v>13976.76</v>
      </c>
      <c r="AC27">
        <v>10875.68000000001</v>
      </c>
      <c r="AD27" s="1">
        <f>IF(AB27=0, "", (AC27-AB27)/AB27)</f>
        <v>0</v>
      </c>
      <c r="AE27">
        <v>38001.1</v>
      </c>
      <c r="AF27">
        <v>38157</v>
      </c>
      <c r="AG27">
        <v>37735.5</v>
      </c>
      <c r="AH27">
        <v>37783.8</v>
      </c>
      <c r="AI27" s="1">
        <f>IF(AG27=0, "", (AH27-AG27)/AG27)</f>
        <v>0</v>
      </c>
      <c r="AJ27">
        <v>0.03601630032062531</v>
      </c>
      <c r="AK27">
        <v>0.06209049001336098</v>
      </c>
      <c r="AL27">
        <v>0.05403497070074081</v>
      </c>
      <c r="AM27">
        <v>0.05001059919595718</v>
      </c>
      <c r="AN27" s="1">
        <f>IF(AL27=0, "", (AM27-AL27)/AL27)</f>
        <v>0</v>
      </c>
      <c r="AO27">
        <v>1</v>
      </c>
    </row>
    <row r="28" spans="1:41">
      <c r="A28" t="s">
        <v>103</v>
      </c>
      <c r="B28" t="s">
        <v>43</v>
      </c>
      <c r="C28">
        <v>241</v>
      </c>
      <c r="D28">
        <v>68</v>
      </c>
      <c r="E28">
        <f>D28/C28</f>
        <v>0</v>
      </c>
      <c r="F28">
        <v>-0.6290177445840821</v>
      </c>
      <c r="G28">
        <v>-0.811070344954075</v>
      </c>
      <c r="H28">
        <v>-1.027911118650759</v>
      </c>
      <c r="I28">
        <v>-0.8402638822568481</v>
      </c>
      <c r="J28" s="1">
        <f>IF(H28=0, "", (I28-H28)/H28)</f>
        <v>0</v>
      </c>
      <c r="K28">
        <v>-5.469168384089215</v>
      </c>
      <c r="L28">
        <v>-11.42956517336855</v>
      </c>
      <c r="M28">
        <v>-13.26361902296152</v>
      </c>
      <c r="N28">
        <v>-11.67598140109928</v>
      </c>
      <c r="O28" s="1">
        <f>IF(M28=0, "", (N28-M28)/M28)</f>
        <v>0</v>
      </c>
      <c r="P28" t="s">
        <v>104</v>
      </c>
      <c r="Q28" t="s">
        <v>60</v>
      </c>
      <c r="R28" t="s">
        <v>52</v>
      </c>
      <c r="S28" t="s">
        <v>60</v>
      </c>
      <c r="T28" s="1">
        <f>IF(R28=0, "", (S28-R28)/R28)</f>
        <v>0</v>
      </c>
      <c r="U28">
        <v>0.2047291824003735</v>
      </c>
      <c r="V28">
        <v>0.2386872949415578</v>
      </c>
      <c r="W28">
        <v>0.2198101358609152</v>
      </c>
      <c r="X28">
        <v>0.2142366822459115</v>
      </c>
      <c r="Y28" s="1">
        <f>IF(W28=0, "", (X28-W28)/W28)</f>
        <v>0</v>
      </c>
      <c r="Z28">
        <v>0</v>
      </c>
      <c r="AA28">
        <v>2460.53</v>
      </c>
      <c r="AB28">
        <v>2589.04</v>
      </c>
      <c r="AC28">
        <v>2349.07</v>
      </c>
      <c r="AD28" s="1">
        <f>IF(AB28=0, "", (AC28-AB28)/AB28)</f>
        <v>0</v>
      </c>
      <c r="AE28">
        <v>14879.1</v>
      </c>
      <c r="AF28">
        <v>15368.6</v>
      </c>
      <c r="AG28">
        <v>14997.6</v>
      </c>
      <c r="AH28">
        <v>15107.4</v>
      </c>
      <c r="AI28" s="1">
        <f>IF(AG28=0, "", (AH28-AG28)/AG28)</f>
        <v>0</v>
      </c>
      <c r="AJ28">
        <v>0.01590018346905708</v>
      </c>
      <c r="AK28">
        <v>0.02009356021881104</v>
      </c>
      <c r="AL28">
        <v>0.02082549780607224</v>
      </c>
      <c r="AM28">
        <v>0.01791959814727306</v>
      </c>
      <c r="AN28" s="1">
        <f>IF(AL28=0, "", (AM28-AL28)/AL28)</f>
        <v>0</v>
      </c>
      <c r="AO28">
        <v>1</v>
      </c>
    </row>
    <row r="29" spans="1:41">
      <c r="J29" s="1">
        <f>AVERAGE(J2:J28)</f>
        <v>0</v>
      </c>
      <c r="O29" s="1">
        <f>AVERAGE(O2:O28)</f>
        <v>0</v>
      </c>
      <c r="T29" s="1">
        <f>AVERAGE(T2:T28)</f>
        <v>0</v>
      </c>
      <c r="Y29" s="1">
        <f>AVERAGE(Y2:Y28)</f>
        <v>0</v>
      </c>
      <c r="AD29" s="1">
        <f>AVERAGE(AD2:AD28)</f>
        <v>0</v>
      </c>
      <c r="AI29" s="1">
        <f>AVERAGE(AI2:AI28)</f>
        <v>0</v>
      </c>
      <c r="AN29" s="1">
        <f>AVERAGE(AN2:AN28)</f>
        <v>0</v>
      </c>
    </row>
    <row r="30" spans="1:41">
      <c r="J30" s="1">
        <f>MEDIAN(J2:J28)</f>
        <v>0</v>
      </c>
      <c r="O30" s="1">
        <f>MEDIAN(O2:O28)</f>
        <v>0</v>
      </c>
      <c r="T30" s="1">
        <f>MEDIAN(T2:T28)</f>
        <v>0</v>
      </c>
      <c r="Y30" s="1">
        <f>MEDIAN(Y2:Y28)</f>
        <v>0</v>
      </c>
      <c r="AD30" s="1">
        <f>MEDIAN(AD2:AD28)</f>
        <v>0</v>
      </c>
      <c r="AI30" s="1">
        <f>MEDIAN(AI2:AI28)</f>
        <v>0</v>
      </c>
      <c r="AN30" s="1">
        <f>MEDIAN(AN2:AN28)</f>
        <v>0</v>
      </c>
    </row>
    <row r="31" spans="1:41">
      <c r="J31" s="1">
        <f>STDEV(J2:J28)</f>
        <v>0</v>
      </c>
      <c r="O31" s="1">
        <f>STDEV(O2:O28)</f>
        <v>0</v>
      </c>
      <c r="T31" s="1">
        <f>STDEV(T2:T28)</f>
        <v>0</v>
      </c>
      <c r="Y31" s="1">
        <f>STDEV(Y2:Y28)</f>
        <v>0</v>
      </c>
      <c r="AD31" s="1">
        <f>STDEV(AD2:AD28)</f>
        <v>0</v>
      </c>
      <c r="AI31" s="1">
        <f>STDEV(AI2:AI28)</f>
        <v>0</v>
      </c>
      <c r="AN31" s="1">
        <f>STDEV(AN2:AN28)</f>
        <v>0</v>
      </c>
    </row>
    <row r="32" spans="1:41">
      <c r="J32">
        <f>CORREL(J2:J28,E2:E28)</f>
        <v>0</v>
      </c>
      <c r="O32">
        <f>CORREL(O2:O28,E2:E28)</f>
        <v>0</v>
      </c>
      <c r="T32">
        <f>CORREL(T2:T28,E2:E28)</f>
        <v>0</v>
      </c>
      <c r="Y32">
        <f>CORREL(Y2:Y28,E2:E28)</f>
        <v>0</v>
      </c>
      <c r="AD32">
        <f>CORREL(AD2:AD28,E2:E28)</f>
        <v>0</v>
      </c>
      <c r="AI32">
        <f>CORREL(AI2:AI28,E2:E28)</f>
        <v>0</v>
      </c>
      <c r="AN32">
        <f>CORREL(AN2:AN28,E2:E28)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2026-07-08T07:25:59Z</dcterms:created>
  <dcterms:modified xsi:type="dcterms:W3CDTF">2026-07-08T07:25:59Z</dcterms:modified>
</cp:coreProperties>
</file>