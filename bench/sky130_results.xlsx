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<sst xmlns="http://schemas.openxmlformats.org/spreadsheetml/2006/main" count="282" uniqueCount="119">
  <si>
    <t>Design</t>
  </si>
  <si>
    <t>Standard Cell Library</t>
  </si>
  <si>
    <t>Cell Count</t>
  </si>
  <si>
    <t>Scannable Elements</t>
  </si>
  <si>
    <t>Scannable Element Ratio</t>
  </si>
  <si>
    <t>Worst Slack (skip)</t>
  </si>
  <si>
    <t>Worst Slack (fault)</t>
  </si>
  <si>
    <t>Worst Slack (basic)</t>
  </si>
  <si>
    <t>Worst Slack (opt)</t>
  </si>
  <si>
    <t>Worst Slack Impact (opt vs basic)</t>
  </si>
  <si>
    <t>Total Negative Slack (skip)</t>
  </si>
  <si>
    <t>Total Negative Slack (fault)</t>
  </si>
  <si>
    <t>Total Negative Slack (basic)</t>
  </si>
  <si>
    <t>Total Negative Slack (opt)</t>
  </si>
  <si>
    <t>Total Negative Slack Impact (opt vs basic)</t>
  </si>
  <si>
    <t>Routing Time (skip)</t>
  </si>
  <si>
    <t>Routing Time (fault)</t>
  </si>
  <si>
    <t>Routing Time (basic)</t>
  </si>
  <si>
    <t>Routing Time (opt)</t>
  </si>
  <si>
    <t>Routing Time Impact (opt vs basic)</t>
  </si>
  <si>
    <t>Congestion Score (skip)</t>
  </si>
  <si>
    <t>Congestion Score (fault)</t>
  </si>
  <si>
    <t>Congestion Score (basic)</t>
  </si>
  <si>
    <t>Congestion Score (opt)</t>
  </si>
  <si>
    <t>Congestion Score Impact (opt vs basic)</t>
  </si>
  <si>
    <t>Scan Chain Routed WL (skip)</t>
  </si>
  <si>
    <t>Scan Chain Routed WL (fault)</t>
  </si>
  <si>
    <t>Scan Chain Routed WL (basic)</t>
  </si>
  <si>
    <t>Scan Chain Routed WL (opt)</t>
  </si>
  <si>
    <t>Scan Chain Routed WL Impact (opt vs basic)</t>
  </si>
  <si>
    <t>Instance Area (skip)</t>
  </si>
  <si>
    <t>Instance Area (fault)</t>
  </si>
  <si>
    <t>Instance Area (basic)</t>
  </si>
  <si>
    <t>Instance Area (opt)</t>
  </si>
  <si>
    <t>Instance Area Impact (opt vs basic)</t>
  </si>
  <si>
    <t>Power Total (skip)</t>
  </si>
  <si>
    <t>Power Total (fault)</t>
  </si>
  <si>
    <t>Power Total (basic)</t>
  </si>
  <si>
    <t>Power Total (opt)</t>
  </si>
  <si>
    <t>Power Total Impact (opt vs basic)</t>
  </si>
  <si>
    <t>Routing Threads</t>
  </si>
  <si>
    <t>s1196</t>
  </si>
  <si>
    <t>00:00:06</t>
  </si>
  <si>
    <t>00:00:05</t>
  </si>
  <si>
    <t>sky130_fd_sc_hd</t>
  </si>
  <si>
    <t>s1196b</t>
  </si>
  <si>
    <t>00:00:24</t>
  </si>
  <si>
    <t>00:00:27</t>
  </si>
  <si>
    <t>00:00:23</t>
  </si>
  <si>
    <t>00:00:16</t>
  </si>
  <si>
    <t>s1238</t>
  </si>
  <si>
    <t>00:00:39</t>
  </si>
  <si>
    <t>00:00:21</t>
  </si>
  <si>
    <t>00:00:30</t>
  </si>
  <si>
    <t>00:00:38</t>
  </si>
  <si>
    <t>s13207</t>
  </si>
  <si>
    <t>00:02:52</t>
  </si>
  <si>
    <t>00:03:06</t>
  </si>
  <si>
    <t>00:01:48</t>
  </si>
  <si>
    <t>00:00:47</t>
  </si>
  <si>
    <t>s1423</t>
  </si>
  <si>
    <t>00:00:17</t>
  </si>
  <si>
    <t>00:00:44</t>
  </si>
  <si>
    <t>00:00:18</t>
  </si>
  <si>
    <t>00:00:10</t>
  </si>
  <si>
    <t>s15850</t>
  </si>
  <si>
    <t>00:02:46</t>
  </si>
  <si>
    <t>00:03:21</t>
  </si>
  <si>
    <t>00:02:03</t>
  </si>
  <si>
    <t>00:01:12</t>
  </si>
  <si>
    <t>s27</t>
  </si>
  <si>
    <t>00:00:01</t>
  </si>
  <si>
    <t>00:00:00</t>
  </si>
  <si>
    <t>s298</t>
  </si>
  <si>
    <t>00:00:03</t>
  </si>
  <si>
    <t>00:00:04</t>
  </si>
  <si>
    <t>s344</t>
  </si>
  <si>
    <t>s349</t>
  </si>
  <si>
    <t>s35932</t>
  </si>
  <si>
    <t>00:05:02</t>
  </si>
  <si>
    <t>00:05:38</t>
  </si>
  <si>
    <t>00:04:16</t>
  </si>
  <si>
    <t>00:02:25</t>
  </si>
  <si>
    <t>s382</t>
  </si>
  <si>
    <t>s38584</t>
  </si>
  <si>
    <t>00:08:47</t>
  </si>
  <si>
    <t>00:10:12</t>
  </si>
  <si>
    <t>00:05:25</t>
  </si>
  <si>
    <t>00:03:14</t>
  </si>
  <si>
    <t>s386</t>
  </si>
  <si>
    <t>00:00:07</t>
  </si>
  <si>
    <t>s400</t>
  </si>
  <si>
    <t>00:00:26</t>
  </si>
  <si>
    <t>s420</t>
  </si>
  <si>
    <t>00:00:02</t>
  </si>
  <si>
    <t>s444</t>
  </si>
  <si>
    <t>s510</t>
  </si>
  <si>
    <t>00:00:33</t>
  </si>
  <si>
    <t>00:00:08</t>
  </si>
  <si>
    <t>00:00:11</t>
  </si>
  <si>
    <t>s526</t>
  </si>
  <si>
    <t>s5378</t>
  </si>
  <si>
    <t>00:00:43</t>
  </si>
  <si>
    <t>00:00:54</t>
  </si>
  <si>
    <t>s641</t>
  </si>
  <si>
    <t>00:00:13</t>
  </si>
  <si>
    <t>00:00:20</t>
  </si>
  <si>
    <t>00:00:19</t>
  </si>
  <si>
    <t>s713</t>
  </si>
  <si>
    <t>00:00:12</t>
  </si>
  <si>
    <t>s820</t>
  </si>
  <si>
    <t>00:00:25</t>
  </si>
  <si>
    <t>s832</t>
  </si>
  <si>
    <t>s838</t>
  </si>
  <si>
    <t>00:00:09</t>
  </si>
  <si>
    <t>s9234</t>
  </si>
  <si>
    <t>00:00:49</t>
  </si>
  <si>
    <t>00:00:41</t>
  </si>
  <si>
    <t>s953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</si>
</sst>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2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44</v>
      </c>
      <c r="C2">
        <v>113</v>
      </c>
      <c r="D2">
        <v>28</v>
      </c>
      <c r="E2">
        <f>D2/C2</f>
        <v>0</v>
      </c>
      <c r="F2">
        <v>-0.09153655870154528</v>
      </c>
      <c r="G2">
        <v>-0.2220748092720057</v>
      </c>
      <c r="H2">
        <v>-0.053953287809007</v>
      </c>
      <c r="I2">
        <v>-0.1039870441410254</v>
      </c>
      <c r="J2" s="1">
        <f>IF(H2=0, "", (I2-H2)/H2)</f>
        <v>0</v>
      </c>
      <c r="K2">
        <v>-0.2523963331996995</v>
      </c>
      <c r="L2">
        <v>-0.9642802385069987</v>
      </c>
      <c r="M2">
        <v>-0.1361755191597299</v>
      </c>
      <c r="N2">
        <v>-0.3815641244298033</v>
      </c>
      <c r="O2" s="1">
        <f>IF(M2=0, "", (N2-M2)/M2)</f>
        <v>0</v>
      </c>
      <c r="P2" t="s">
        <v>43</v>
      </c>
      <c r="Q2" t="s">
        <v>43</v>
      </c>
      <c r="R2" t="s">
        <v>42</v>
      </c>
      <c r="S2" t="s">
        <v>42</v>
      </c>
      <c r="T2" s="1">
        <f>IF(R2=0, "", (S2-R2)/R2)</f>
        <v>0</v>
      </c>
      <c r="U2">
        <v>0.3161643147036197</v>
      </c>
      <c r="V2">
        <v>0.3791040166830947</v>
      </c>
      <c r="W2">
        <v>0.3278000421586804</v>
      </c>
      <c r="X2">
        <v>0.3310351388660696</v>
      </c>
      <c r="Y2" s="1">
        <f>IF(W2=0, "", (X2-W2)/W2)</f>
        <v>0</v>
      </c>
      <c r="Z2">
        <v>0</v>
      </c>
      <c r="AA2">
        <v>454.02</v>
      </c>
      <c r="AB2">
        <v>295.06</v>
      </c>
      <c r="AC2">
        <v>251.74</v>
      </c>
      <c r="AD2" s="1">
        <f>IF(AB2=0, "", (AC2-AB2)/AB2)</f>
        <v>0</v>
      </c>
      <c r="AE2">
        <v>2573.72</v>
      </c>
      <c r="AF2">
        <v>2884.02</v>
      </c>
      <c r="AG2">
        <v>2886.52</v>
      </c>
      <c r="AH2">
        <v>2899.03</v>
      </c>
      <c r="AI2" s="1">
        <f>IF(AG2=0, "", (AH2-AG2)/AG2)</f>
        <v>0</v>
      </c>
      <c r="AJ2">
        <v>0.0003961521724704653</v>
      </c>
      <c r="AK2">
        <v>0.000483502255519852</v>
      </c>
      <c r="AL2">
        <v>0.0004512267478276044</v>
      </c>
      <c r="AM2">
        <v>0.0004436717135831714</v>
      </c>
      <c r="AN2" s="1">
        <f>IF(AL2=0, "", (AM2-AL2)/AL2)</f>
        <v>0</v>
      </c>
      <c r="AO2">
        <v>1</v>
      </c>
    </row>
    <row r="3" spans="1:41">
      <c r="A3" t="s">
        <v>45</v>
      </c>
      <c r="B3" t="s">
        <v>44</v>
      </c>
      <c r="C3">
        <v>262</v>
      </c>
      <c r="D3">
        <v>46</v>
      </c>
      <c r="E3">
        <f>D3/C3</f>
        <v>0</v>
      </c>
      <c r="F3">
        <v>-0.2688924714553326</v>
      </c>
      <c r="G3">
        <v>-0.2531281922382308</v>
      </c>
      <c r="H3">
        <v>-0.2653557448880612</v>
      </c>
      <c r="I3">
        <v>-0.2485389742138483</v>
      </c>
      <c r="J3" s="1">
        <f>IF(H3=0, "", (I3-H3)/H3)</f>
        <v>0</v>
      </c>
      <c r="K3">
        <v>-1.634974868435792</v>
      </c>
      <c r="L3">
        <v>-1.533373471597552</v>
      </c>
      <c r="M3">
        <v>-1.345219085311649</v>
      </c>
      <c r="N3">
        <v>-1.560955853201422</v>
      </c>
      <c r="O3" s="1">
        <f>IF(M3=0, "", (N3-M3)/M3)</f>
        <v>0</v>
      </c>
      <c r="P3" t="s">
        <v>49</v>
      </c>
      <c r="Q3" t="s">
        <v>47</v>
      </c>
      <c r="R3" t="s">
        <v>46</v>
      </c>
      <c r="S3" t="s">
        <v>48</v>
      </c>
      <c r="T3" s="1">
        <f>IF(R3=0, "", (S3-R3)/R3)</f>
        <v>0</v>
      </c>
      <c r="U3">
        <v>0.3702506257616541</v>
      </c>
      <c r="V3">
        <v>0.41056401140488</v>
      </c>
      <c r="W3">
        <v>0.376323383427769</v>
      </c>
      <c r="X3">
        <v>0.373590755025208</v>
      </c>
      <c r="Y3" s="1">
        <f>IF(W3=0, "", (X3-W3)/W3)</f>
        <v>0</v>
      </c>
      <c r="Z3">
        <v>0</v>
      </c>
      <c r="AA3">
        <v>549.4350000000001</v>
      </c>
      <c r="AB3">
        <v>512.9849999999999</v>
      </c>
      <c r="AC3">
        <v>503.33</v>
      </c>
      <c r="AD3" s="1">
        <f>IF(AB3=0, "", (AC3-AB3)/AB3)</f>
        <v>0</v>
      </c>
      <c r="AE3">
        <v>5013.56</v>
      </c>
      <c r="AF3">
        <v>5462.74</v>
      </c>
      <c r="AG3">
        <v>5484.01</v>
      </c>
      <c r="AH3">
        <v>5425.2</v>
      </c>
      <c r="AI3" s="1">
        <f>IF(AG3=0, "", (AH3-AG3)/AG3)</f>
        <v>0</v>
      </c>
      <c r="AJ3">
        <v>0.0008616381674073637</v>
      </c>
      <c r="AK3">
        <v>0.001107554533518851</v>
      </c>
      <c r="AL3">
        <v>0.00104602356441319</v>
      </c>
      <c r="AM3">
        <v>0.00108475552406162</v>
      </c>
      <c r="AN3" s="1">
        <f>IF(AL3=0, "", (AM3-AL3)/AL3)</f>
        <v>0</v>
      </c>
      <c r="AO3">
        <v>1</v>
      </c>
    </row>
    <row r="4" spans="1:41">
      <c r="A4" t="s">
        <v>50</v>
      </c>
      <c r="B4" t="s">
        <v>44</v>
      </c>
      <c r="C4">
        <v>272</v>
      </c>
      <c r="D4">
        <v>46</v>
      </c>
      <c r="E4">
        <f>D4/C4</f>
        <v>0</v>
      </c>
      <c r="F4">
        <v>-0.3206341949367389</v>
      </c>
      <c r="G4">
        <v>-0.4660103546063543</v>
      </c>
      <c r="H4">
        <v>-0.3279199227195935</v>
      </c>
      <c r="I4">
        <v>-0.3671827390512855</v>
      </c>
      <c r="J4" s="1">
        <f>IF(H4=0, "", (I4-H4)/H4)</f>
        <v>0</v>
      </c>
      <c r="K4">
        <v>-2.173788321985558</v>
      </c>
      <c r="L4">
        <v>-2.45971605601253</v>
      </c>
      <c r="M4">
        <v>-1.334079551256723</v>
      </c>
      <c r="N4">
        <v>-1.841364446372285</v>
      </c>
      <c r="O4" s="1">
        <f>IF(M4=0, "", (N4-M4)/M4)</f>
        <v>0</v>
      </c>
      <c r="P4" t="s">
        <v>54</v>
      </c>
      <c r="Q4" t="s">
        <v>52</v>
      </c>
      <c r="R4" t="s">
        <v>51</v>
      </c>
      <c r="S4" t="s">
        <v>53</v>
      </c>
      <c r="T4" s="1">
        <f>IF(R4=0, "", (S4-R4)/R4)</f>
        <v>0</v>
      </c>
      <c r="U4">
        <v>0.3763945427164338</v>
      </c>
      <c r="V4">
        <v>0.4113013369668021</v>
      </c>
      <c r="W4">
        <v>0.3970116645385607</v>
      </c>
      <c r="X4">
        <v>0.3892250141268879</v>
      </c>
      <c r="Y4" s="1">
        <f>IF(W4=0, "", (X4-W4)/W4)</f>
        <v>0</v>
      </c>
      <c r="Z4">
        <v>0</v>
      </c>
      <c r="AA4">
        <v>451.5350000000001</v>
      </c>
      <c r="AB4">
        <v>680.24</v>
      </c>
      <c r="AC4">
        <v>553.4749999999999</v>
      </c>
      <c r="AD4" s="1">
        <f>IF(AB4=0, "", (AC4-AB4)/AB4)</f>
        <v>0</v>
      </c>
      <c r="AE4">
        <v>4998.54</v>
      </c>
      <c r="AF4">
        <v>5562.84</v>
      </c>
      <c r="AG4">
        <v>5461.49</v>
      </c>
      <c r="AH4">
        <v>5437.72</v>
      </c>
      <c r="AI4" s="1">
        <f>IF(AG4=0, "", (AH4-AG4)/AG4)</f>
        <v>0</v>
      </c>
      <c r="AJ4">
        <v>0.0008623473113402724</v>
      </c>
      <c r="AK4">
        <v>0.001122165936976671</v>
      </c>
      <c r="AL4">
        <v>0.001021224656142294</v>
      </c>
      <c r="AM4">
        <v>0.001083981245756149</v>
      </c>
      <c r="AN4" s="1">
        <f>IF(AL4=0, "", (AM4-AL4)/AL4)</f>
        <v>0</v>
      </c>
      <c r="AO4">
        <v>1</v>
      </c>
    </row>
    <row r="5" spans="1:41">
      <c r="A5" t="s">
        <v>55</v>
      </c>
      <c r="B5" t="s">
        <v>44</v>
      </c>
      <c r="C5">
        <v>1415</v>
      </c>
      <c r="D5">
        <v>697</v>
      </c>
      <c r="E5">
        <f>D5/C5</f>
        <v>0</v>
      </c>
      <c r="F5">
        <v>-1.74406893863453</v>
      </c>
      <c r="G5">
        <v>-2.692512955470396</v>
      </c>
      <c r="H5">
        <v>-1.941185045428662</v>
      </c>
      <c r="I5">
        <v>-1.952384087439392</v>
      </c>
      <c r="J5" s="1">
        <f>IF(H5=0, "", (I5-H5)/H5)</f>
        <v>0</v>
      </c>
      <c r="K5">
        <v>-9.621452351613415</v>
      </c>
      <c r="L5">
        <v>-20.18998181343612</v>
      </c>
      <c r="M5">
        <v>-10.55989370280372</v>
      </c>
      <c r="N5">
        <v>-11.97573363261986</v>
      </c>
      <c r="O5" s="1">
        <f>IF(M5=0, "", (N5-M5)/M5)</f>
        <v>0</v>
      </c>
      <c r="P5" t="s">
        <v>59</v>
      </c>
      <c r="Q5" t="s">
        <v>57</v>
      </c>
      <c r="R5" t="s">
        <v>56</v>
      </c>
      <c r="S5" t="s">
        <v>58</v>
      </c>
      <c r="T5" s="1">
        <f>IF(R5=0, "", (S5-R5)/R5)</f>
        <v>0</v>
      </c>
      <c r="U5">
        <v>0.3802092660147134</v>
      </c>
      <c r="V5">
        <v>0.5654189579447363</v>
      </c>
      <c r="W5">
        <v>0.4791425746026859</v>
      </c>
      <c r="X5">
        <v>0.4241655478965319</v>
      </c>
      <c r="Y5" s="1">
        <f>IF(W5=0, "", (X5-W5)/W5)</f>
        <v>0</v>
      </c>
      <c r="Z5">
        <v>0</v>
      </c>
      <c r="AA5">
        <v>41914.09999999999</v>
      </c>
      <c r="AB5">
        <v>33434.59000000003</v>
      </c>
      <c r="AC5">
        <v>14864.22500000001</v>
      </c>
      <c r="AD5" s="1">
        <f>IF(AB5=0, "", (AC5-AB5)/AB5)</f>
        <v>0</v>
      </c>
      <c r="AE5">
        <v>40282.4</v>
      </c>
      <c r="AF5">
        <v>43670.6</v>
      </c>
      <c r="AG5">
        <v>43893.3</v>
      </c>
      <c r="AH5">
        <v>43872.1</v>
      </c>
      <c r="AI5" s="1">
        <f>IF(AG5=0, "", (AH5-AG5)/AG5)</f>
        <v>0</v>
      </c>
      <c r="AJ5">
        <v>0.007660589180886745</v>
      </c>
      <c r="AK5">
        <v>0.01617129519581795</v>
      </c>
      <c r="AL5">
        <v>0.01406367495656013</v>
      </c>
      <c r="AM5">
        <v>0.01209803018718958</v>
      </c>
      <c r="AN5" s="1">
        <f>IF(AL5=0, "", (AM5-AL5)/AL5)</f>
        <v>0</v>
      </c>
      <c r="AO5">
        <v>1</v>
      </c>
    </row>
    <row r="6" spans="1:41">
      <c r="A6" t="s">
        <v>60</v>
      </c>
      <c r="B6" t="s">
        <v>44</v>
      </c>
      <c r="C6">
        <v>346</v>
      </c>
      <c r="D6">
        <v>96</v>
      </c>
      <c r="E6">
        <f>D6/C6</f>
        <v>0</v>
      </c>
      <c r="F6">
        <v>-2.128444147842187</v>
      </c>
      <c r="G6">
        <v>-2.327330394276844</v>
      </c>
      <c r="H6">
        <v>-2.278518771484898</v>
      </c>
      <c r="I6">
        <v>-2.185921727720238</v>
      </c>
      <c r="J6" s="1">
        <f>IF(H6=0, "", (I6-H6)/H6)</f>
        <v>0</v>
      </c>
      <c r="K6">
        <v>-3.809558110129464</v>
      </c>
      <c r="L6">
        <v>-15.12420276270126</v>
      </c>
      <c r="M6">
        <v>-4.812788526155578</v>
      </c>
      <c r="N6">
        <v>-3.401175437558335</v>
      </c>
      <c r="O6" s="1">
        <f>IF(M6=0, "", (N6-M6)/M6)</f>
        <v>0</v>
      </c>
      <c r="P6" t="s">
        <v>64</v>
      </c>
      <c r="Q6" t="s">
        <v>62</v>
      </c>
      <c r="R6" t="s">
        <v>61</v>
      </c>
      <c r="S6" t="s">
        <v>63</v>
      </c>
      <c r="T6" s="1">
        <f>IF(R6=0, "", (S6-R6)/R6)</f>
        <v>0</v>
      </c>
      <c r="U6">
        <v>0.312791084815601</v>
      </c>
      <c r="V6">
        <v>0.3504101396898267</v>
      </c>
      <c r="W6">
        <v>0.3486742127803033</v>
      </c>
      <c r="X6">
        <v>0.3368508313606013</v>
      </c>
      <c r="Y6" s="1">
        <f>IF(W6=0, "", (X6-W6)/W6)</f>
        <v>0</v>
      </c>
      <c r="Z6">
        <v>0</v>
      </c>
      <c r="AA6">
        <v>1414.58</v>
      </c>
      <c r="AB6">
        <v>1571.18</v>
      </c>
      <c r="AC6">
        <v>1185.49</v>
      </c>
      <c r="AD6" s="1">
        <f>IF(AB6=0, "", (AC6-AB6)/AB6)</f>
        <v>0</v>
      </c>
      <c r="AE6">
        <v>6785.26</v>
      </c>
      <c r="AF6">
        <v>7553.49</v>
      </c>
      <c r="AG6">
        <v>7383.33</v>
      </c>
      <c r="AH6">
        <v>7380.83</v>
      </c>
      <c r="AI6" s="1">
        <f>IF(AG6=0, "", (AH6-AG6)/AG6)</f>
        <v>0</v>
      </c>
      <c r="AJ6">
        <v>0.001272479305043817</v>
      </c>
      <c r="AK6">
        <v>0.002159497700631618</v>
      </c>
      <c r="AL6">
        <v>0.001960782799869776</v>
      </c>
      <c r="AM6">
        <v>0.001680102664977312</v>
      </c>
      <c r="AN6" s="1">
        <f>IF(AL6=0, "", (AM6-AL6)/AL6)</f>
        <v>0</v>
      </c>
      <c r="AO6">
        <v>1</v>
      </c>
    </row>
    <row r="7" spans="1:41">
      <c r="A7" t="s">
        <v>65</v>
      </c>
      <c r="B7" t="s">
        <v>44</v>
      </c>
      <c r="C7">
        <v>1894</v>
      </c>
      <c r="D7">
        <v>725</v>
      </c>
      <c r="E7">
        <f>D7/C7</f>
        <v>0</v>
      </c>
      <c r="F7">
        <v>-2.907456580008946</v>
      </c>
      <c r="G7">
        <v>-3.309326240044213</v>
      </c>
      <c r="H7">
        <v>-3.260413364909557</v>
      </c>
      <c r="I7">
        <v>-3.141531568248908</v>
      </c>
      <c r="J7" s="1">
        <f>IF(H7=0, "", (I7-H7)/H7)</f>
        <v>0</v>
      </c>
      <c r="K7">
        <v>-124.4693556787188</v>
      </c>
      <c r="L7">
        <v>-140.6150329308812</v>
      </c>
      <c r="M7">
        <v>-140.4998681610121</v>
      </c>
      <c r="N7">
        <v>-157.486756981832</v>
      </c>
      <c r="O7" s="1">
        <f>IF(M7=0, "", (N7-M7)/M7)</f>
        <v>0</v>
      </c>
      <c r="P7" t="s">
        <v>69</v>
      </c>
      <c r="Q7" t="s">
        <v>67</v>
      </c>
      <c r="R7" t="s">
        <v>66</v>
      </c>
      <c r="S7" t="s">
        <v>68</v>
      </c>
      <c r="T7" s="1">
        <f>IF(R7=0, "", (S7-R7)/R7)</f>
        <v>0</v>
      </c>
      <c r="U7">
        <v>0.3911220848005789</v>
      </c>
      <c r="V7">
        <v>0.5926767312016396</v>
      </c>
      <c r="W7">
        <v>0.5051794434463159</v>
      </c>
      <c r="X7">
        <v>0.4372334792476472</v>
      </c>
      <c r="Y7" s="1">
        <f>IF(W7=0, "", (X7-W7)/W7)</f>
        <v>0</v>
      </c>
      <c r="Z7">
        <v>0</v>
      </c>
      <c r="AA7">
        <v>41583.01000000002</v>
      </c>
      <c r="AB7">
        <v>32553.64500000003</v>
      </c>
      <c r="AC7">
        <v>14162.62999999998</v>
      </c>
      <c r="AD7" s="1">
        <f>IF(AB7=0, "", (AC7-AB7)/AB7)</f>
        <v>0</v>
      </c>
      <c r="AE7">
        <v>47961</v>
      </c>
      <c r="AF7">
        <v>51180.3</v>
      </c>
      <c r="AG7">
        <v>51903.5</v>
      </c>
      <c r="AH7">
        <v>51289.2</v>
      </c>
      <c r="AI7" s="1">
        <f>IF(AG7=0, "", (AH7-AG7)/AG7)</f>
        <v>0</v>
      </c>
      <c r="AJ7">
        <v>0.009503668174147606</v>
      </c>
      <c r="AK7">
        <v>0.0179460421204567</v>
      </c>
      <c r="AL7">
        <v>0.01581747829914093</v>
      </c>
      <c r="AM7">
        <v>0.01463545486330986</v>
      </c>
      <c r="AN7" s="1">
        <f>IF(AL7=0, "", (AM7-AL7)/AL7)</f>
        <v>0</v>
      </c>
      <c r="AO7">
        <v>1</v>
      </c>
    </row>
    <row r="8" spans="1:41">
      <c r="A8" t="s">
        <v>70</v>
      </c>
      <c r="B8" t="s">
        <v>44</v>
      </c>
      <c r="C8">
        <v>13</v>
      </c>
      <c r="D8">
        <v>8</v>
      </c>
      <c r="E8">
        <f>D8/C8</f>
        <v>0</v>
      </c>
      <c r="F8">
        <v>0</v>
      </c>
      <c r="H8">
        <v>0</v>
      </c>
      <c r="I8">
        <v>0</v>
      </c>
      <c r="J8" s="1">
        <f>IF(H8=0, "", (I8-H8)/H8)</f>
        <v>0</v>
      </c>
      <c r="K8">
        <v>0</v>
      </c>
      <c r="M8">
        <v>0</v>
      </c>
      <c r="N8">
        <v>0</v>
      </c>
      <c r="O8" s="1">
        <f>IF(M8=0, "", (N8-M8)/M8)</f>
        <v>0</v>
      </c>
      <c r="P8" t="s">
        <v>72</v>
      </c>
      <c r="R8" t="s">
        <v>71</v>
      </c>
      <c r="S8" t="s">
        <v>71</v>
      </c>
      <c r="T8" s="1">
        <f>IF(R8=0, "", (S8-R8)/R8)</f>
        <v>0</v>
      </c>
      <c r="U8">
        <v>0.2818427384586045</v>
      </c>
      <c r="W8">
        <v>0.3080505942272014</v>
      </c>
      <c r="X8">
        <v>0.3132175423670083</v>
      </c>
      <c r="Y8" s="1">
        <f>IF(W8=0, "", (X8-W8)/W8)</f>
        <v>0</v>
      </c>
      <c r="Z8">
        <v>0</v>
      </c>
      <c r="AB8">
        <v>135.35</v>
      </c>
      <c r="AC8">
        <v>134.04</v>
      </c>
      <c r="AD8" s="1">
        <f>IF(AB8=0, "", (AC8-AB8)/AB8)</f>
        <v>0</v>
      </c>
      <c r="AE8">
        <v>586.813</v>
      </c>
      <c r="AG8">
        <v>623.098</v>
      </c>
      <c r="AH8">
        <v>623.098</v>
      </c>
      <c r="AI8" s="1">
        <f>IF(AG8=0, "", (AH8-AG8)/AG8)</f>
        <v>0</v>
      </c>
      <c r="AJ8">
        <v>0.000145998943480663</v>
      </c>
      <c r="AL8">
        <v>0.0001730959920678288</v>
      </c>
      <c r="AM8">
        <v>0.0001718643470667303</v>
      </c>
      <c r="AN8" s="1">
        <f>IF(AL8=0, "", (AM8-AL8)/AL8)</f>
        <v>0</v>
      </c>
      <c r="AO8">
        <v>1</v>
      </c>
    </row>
    <row r="9" spans="1:41">
      <c r="A9" t="s">
        <v>73</v>
      </c>
      <c r="B9" t="s">
        <v>44</v>
      </c>
      <c r="C9">
        <v>61</v>
      </c>
      <c r="D9">
        <v>23</v>
      </c>
      <c r="E9">
        <f>D9/C9</f>
        <v>0</v>
      </c>
      <c r="F9">
        <v>0</v>
      </c>
      <c r="G9">
        <v>0</v>
      </c>
      <c r="H9">
        <v>0</v>
      </c>
      <c r="I9">
        <v>0</v>
      </c>
      <c r="J9" s="1">
        <f>IF(H9=0, "", (I9-H9)/H9)</f>
        <v>0</v>
      </c>
      <c r="K9">
        <v>0</v>
      </c>
      <c r="L9">
        <v>0</v>
      </c>
      <c r="M9">
        <v>0</v>
      </c>
      <c r="N9">
        <v>0</v>
      </c>
      <c r="O9" s="1">
        <f>IF(M9=0, "", (N9-M9)/M9)</f>
        <v>0</v>
      </c>
      <c r="P9" t="s">
        <v>74</v>
      </c>
      <c r="Q9" t="s">
        <v>75</v>
      </c>
      <c r="R9" t="s">
        <v>74</v>
      </c>
      <c r="S9" t="s">
        <v>74</v>
      </c>
      <c r="T9" s="1">
        <f>IF(R9=0, "", (S9-R9)/R9)</f>
        <v>0</v>
      </c>
      <c r="U9">
        <v>0.2881723702051068</v>
      </c>
      <c r="V9">
        <v>0.3277476088016978</v>
      </c>
      <c r="W9">
        <v>0.3022605200099895</v>
      </c>
      <c r="X9">
        <v>0.3140782205190072</v>
      </c>
      <c r="Y9" s="1">
        <f>IF(W9=0, "", (X9-W9)/W9)</f>
        <v>0</v>
      </c>
      <c r="Z9">
        <v>0</v>
      </c>
      <c r="AA9">
        <v>624.2600000000001</v>
      </c>
      <c r="AB9">
        <v>351.655</v>
      </c>
      <c r="AC9">
        <v>402.6899999999999</v>
      </c>
      <c r="AD9" s="1">
        <f>IF(AB9=0, "", (AC9-AB9)/AB9)</f>
        <v>0</v>
      </c>
      <c r="AE9">
        <v>1548.99</v>
      </c>
      <c r="AF9">
        <v>1670.35</v>
      </c>
      <c r="AG9">
        <v>1672.85</v>
      </c>
      <c r="AH9">
        <v>1692.87</v>
      </c>
      <c r="AI9" s="1">
        <f>IF(AG9=0, "", (AH9-AG9)/AG9)</f>
        <v>0</v>
      </c>
      <c r="AJ9">
        <v>0.0003687030402943492</v>
      </c>
      <c r="AK9">
        <v>0.0006225930992513895</v>
      </c>
      <c r="AL9">
        <v>0.0005948509206064045</v>
      </c>
      <c r="AM9">
        <v>0.0005926786689087749</v>
      </c>
      <c r="AN9" s="1">
        <f>IF(AL9=0, "", (AM9-AL9)/AL9)</f>
        <v>0</v>
      </c>
      <c r="AO9">
        <v>1</v>
      </c>
    </row>
    <row r="10" spans="1:41">
      <c r="A10" t="s">
        <v>76</v>
      </c>
      <c r="B10" t="s">
        <v>44</v>
      </c>
      <c r="C10">
        <v>82</v>
      </c>
      <c r="D10">
        <v>35</v>
      </c>
      <c r="E10">
        <f>D10/C10</f>
        <v>0</v>
      </c>
      <c r="F10">
        <v>0</v>
      </c>
      <c r="G10">
        <v>0</v>
      </c>
      <c r="H10">
        <v>0</v>
      </c>
      <c r="I10">
        <v>0</v>
      </c>
      <c r="J10" s="1">
        <f>IF(H10=0, "", (I10-H10)/H10)</f>
        <v>0</v>
      </c>
      <c r="K10">
        <v>0</v>
      </c>
      <c r="L10">
        <v>0</v>
      </c>
      <c r="M10">
        <v>0</v>
      </c>
      <c r="N10">
        <v>0</v>
      </c>
      <c r="O10" s="1">
        <f>IF(M10=0, "", (N10-M10)/M10)</f>
        <v>0</v>
      </c>
      <c r="P10" t="s">
        <v>74</v>
      </c>
      <c r="Q10" t="s">
        <v>43</v>
      </c>
      <c r="R10" t="s">
        <v>43</v>
      </c>
      <c r="S10" t="s">
        <v>43</v>
      </c>
      <c r="T10" s="1">
        <f>IF(R10=0, "", (S10-R10)/R10)</f>
        <v>0</v>
      </c>
      <c r="U10">
        <v>0.2916804953830401</v>
      </c>
      <c r="V10">
        <v>0.3418966122203245</v>
      </c>
      <c r="W10">
        <v>0.3276228091260739</v>
      </c>
      <c r="X10">
        <v>0.3275378490260951</v>
      </c>
      <c r="Y10" s="1">
        <f>IF(W10=0, "", (X10-W10)/W10)</f>
        <v>0</v>
      </c>
      <c r="Z10">
        <v>0</v>
      </c>
      <c r="AA10">
        <v>470.9400000000001</v>
      </c>
      <c r="AB10">
        <v>441.73</v>
      </c>
      <c r="AC10">
        <v>496.4199999999999</v>
      </c>
      <c r="AD10" s="1">
        <f>IF(AB10=0, "", (AC10-AB10)/AB10)</f>
        <v>0</v>
      </c>
      <c r="AE10">
        <v>2382.28</v>
      </c>
      <c r="AF10">
        <v>2583.73</v>
      </c>
      <c r="AG10">
        <v>2587.48</v>
      </c>
      <c r="AH10">
        <v>2577.47</v>
      </c>
      <c r="AI10" s="1">
        <f>IF(AG10=0, "", (AH10-AG10)/AG10)</f>
        <v>0</v>
      </c>
      <c r="AJ10">
        <v>0.0005298949545249343</v>
      </c>
      <c r="AK10">
        <v>0.000956393894739449</v>
      </c>
      <c r="AL10">
        <v>0.0008586648618802428</v>
      </c>
      <c r="AM10">
        <v>0.0009490734082646668</v>
      </c>
      <c r="AN10" s="1">
        <f>IF(AL10=0, "", (AM10-AL10)/AL10)</f>
        <v>0</v>
      </c>
      <c r="AO10">
        <v>1</v>
      </c>
    </row>
    <row r="11" spans="1:41">
      <c r="A11" t="s">
        <v>77</v>
      </c>
      <c r="B11" t="s">
        <v>44</v>
      </c>
      <c r="C11">
        <v>80</v>
      </c>
      <c r="D11">
        <v>35</v>
      </c>
      <c r="E11">
        <f>D11/C11</f>
        <v>0</v>
      </c>
      <c r="F11">
        <v>0</v>
      </c>
      <c r="G11">
        <v>0</v>
      </c>
      <c r="H11">
        <v>0</v>
      </c>
      <c r="I11">
        <v>0</v>
      </c>
      <c r="J11" s="1">
        <f>IF(H11=0, "", (I11-H11)/H11)</f>
        <v>0</v>
      </c>
      <c r="K11">
        <v>0</v>
      </c>
      <c r="L11">
        <v>0</v>
      </c>
      <c r="M11">
        <v>0</v>
      </c>
      <c r="N11">
        <v>0</v>
      </c>
      <c r="O11" s="1">
        <f>IF(M11=0, "", (N11-M11)/M11)</f>
        <v>0</v>
      </c>
      <c r="P11" t="s">
        <v>74</v>
      </c>
      <c r="Q11" t="s">
        <v>43</v>
      </c>
      <c r="R11" t="s">
        <v>43</v>
      </c>
      <c r="S11" t="s">
        <v>75</v>
      </c>
      <c r="T11" s="1">
        <f>IF(R11=0, "", (S11-R11)/R11)</f>
        <v>0</v>
      </c>
      <c r="U11">
        <v>0.2903649164396716</v>
      </c>
      <c r="V11">
        <v>0.3306683933912454</v>
      </c>
      <c r="W11">
        <v>0.3166480891195365</v>
      </c>
      <c r="X11">
        <v>0.3121056077820027</v>
      </c>
      <c r="Y11" s="1">
        <f>IF(W11=0, "", (X11-W11)/W11)</f>
        <v>0</v>
      </c>
      <c r="Z11">
        <v>0</v>
      </c>
      <c r="AA11">
        <v>543.0399999999998</v>
      </c>
      <c r="AB11">
        <v>510.78</v>
      </c>
      <c r="AC11">
        <v>493.53</v>
      </c>
      <c r="AD11" s="1">
        <f>IF(AB11=0, "", (AC11-AB11)/AB11)</f>
        <v>0</v>
      </c>
      <c r="AE11">
        <v>2329.73</v>
      </c>
      <c r="AF11">
        <v>2549.95</v>
      </c>
      <c r="AG11">
        <v>2542.44</v>
      </c>
      <c r="AH11">
        <v>2542.44</v>
      </c>
      <c r="AI11" s="1">
        <f>IF(AG11=0, "", (AH11-AG11)/AG11)</f>
        <v>0</v>
      </c>
      <c r="AJ11">
        <v>0.0005174994003027678</v>
      </c>
      <c r="AK11">
        <v>0.0009262042003683746</v>
      </c>
      <c r="AL11">
        <v>0.0009522610926069319</v>
      </c>
      <c r="AM11">
        <v>0.0008307395619340241</v>
      </c>
      <c r="AN11" s="1">
        <f>IF(AL11=0, "", (AM11-AL11)/AL11)</f>
        <v>0</v>
      </c>
      <c r="AO11">
        <v>1</v>
      </c>
    </row>
    <row r="12" spans="1:41">
      <c r="A12" t="s">
        <v>78</v>
      </c>
      <c r="B12" t="s">
        <v>44</v>
      </c>
      <c r="C12">
        <v>5651</v>
      </c>
      <c r="D12">
        <v>2083</v>
      </c>
      <c r="E12">
        <f>D12/C12</f>
        <v>0</v>
      </c>
      <c r="F12">
        <v>-0.7521841140625404</v>
      </c>
      <c r="G12">
        <v>-1.521576685493459</v>
      </c>
      <c r="H12">
        <v>-0.9152989736320915</v>
      </c>
      <c r="I12">
        <v>-0.7283738263138185</v>
      </c>
      <c r="J12" s="1">
        <f>IF(H12=0, "", (I12-H12)/H12)</f>
        <v>0</v>
      </c>
      <c r="K12">
        <v>-18.21890245791172</v>
      </c>
      <c r="L12">
        <v>-30.92632371062302</v>
      </c>
      <c r="M12">
        <v>-24.54167072360675</v>
      </c>
      <c r="N12">
        <v>-17.73936958648299</v>
      </c>
      <c r="O12" s="1">
        <f>IF(M12=0, "", (N12-M12)/M12)</f>
        <v>0</v>
      </c>
      <c r="P12" t="s">
        <v>82</v>
      </c>
      <c r="Q12" t="s">
        <v>80</v>
      </c>
      <c r="R12" t="s">
        <v>79</v>
      </c>
      <c r="S12" t="s">
        <v>81</v>
      </c>
      <c r="T12" s="1">
        <f>IF(R12=0, "", (S12-R12)/R12)</f>
        <v>0</v>
      </c>
      <c r="U12">
        <v>0.3704347141952406</v>
      </c>
      <c r="V12">
        <v>0.4721248612401333</v>
      </c>
      <c r="W12">
        <v>0.4677266531237994</v>
      </c>
      <c r="X12">
        <v>0.4106914284879769</v>
      </c>
      <c r="Y12" s="1">
        <f>IF(W12=0, "", (X12-W12)/W12)</f>
        <v>0</v>
      </c>
      <c r="Z12">
        <v>0</v>
      </c>
      <c r="AA12">
        <v>82736.15000000001</v>
      </c>
      <c r="AB12">
        <v>124688.8200000002</v>
      </c>
      <c r="AC12">
        <v>50252.06500000002</v>
      </c>
      <c r="AD12" s="1">
        <f>IF(AB12=0, "", (AC12-AB12)/AB12)</f>
        <v>0</v>
      </c>
      <c r="AE12">
        <v>138497</v>
      </c>
      <c r="AF12">
        <v>144949</v>
      </c>
      <c r="AG12">
        <v>145468</v>
      </c>
      <c r="AH12">
        <v>145164</v>
      </c>
      <c r="AI12" s="1">
        <f>IF(AG12=0, "", (AH12-AG12)/AG12)</f>
        <v>0</v>
      </c>
      <c r="AJ12">
        <v>0.0294441357254982</v>
      </c>
      <c r="AK12">
        <v>0.04019394889473915</v>
      </c>
      <c r="AL12">
        <v>0.03737317398190498</v>
      </c>
      <c r="AM12">
        <v>0.03978381678462029</v>
      </c>
      <c r="AN12" s="1">
        <f>IF(AL12=0, "", (AM12-AL12)/AL12)</f>
        <v>0</v>
      </c>
      <c r="AO12">
        <v>1</v>
      </c>
    </row>
    <row r="13" spans="1:41">
      <c r="A13" t="s">
        <v>83</v>
      </c>
      <c r="B13" t="s">
        <v>44</v>
      </c>
      <c r="C13">
        <v>81</v>
      </c>
      <c r="D13">
        <v>30</v>
      </c>
      <c r="E13">
        <f>D13/C13</f>
        <v>0</v>
      </c>
      <c r="F13">
        <v>0</v>
      </c>
      <c r="G13">
        <v>0</v>
      </c>
      <c r="H13">
        <v>0</v>
      </c>
      <c r="I13">
        <v>0</v>
      </c>
      <c r="J13" s="1">
        <f>IF(H13=0, "", (I13-H13)/H13)</f>
        <v>0</v>
      </c>
      <c r="K13">
        <v>0</v>
      </c>
      <c r="L13">
        <v>0</v>
      </c>
      <c r="M13">
        <v>0</v>
      </c>
      <c r="N13">
        <v>0</v>
      </c>
      <c r="O13" s="1">
        <f>IF(M13=0, "", (N13-M13)/M13)</f>
        <v>0</v>
      </c>
      <c r="P13" t="s">
        <v>74</v>
      </c>
      <c r="Q13" t="s">
        <v>75</v>
      </c>
      <c r="R13" t="s">
        <v>74</v>
      </c>
      <c r="S13" t="s">
        <v>75</v>
      </c>
      <c r="T13" s="1">
        <f>IF(R13=0, "", (S13-R13)/R13)</f>
        <v>0</v>
      </c>
      <c r="U13">
        <v>0.2917102597636703</v>
      </c>
      <c r="V13">
        <v>0.323022051392224</v>
      </c>
      <c r="W13">
        <v>0.3176271238001882</v>
      </c>
      <c r="X13">
        <v>0.3178606353716114</v>
      </c>
      <c r="Y13" s="1">
        <f>IF(W13=0, "", (X13-W13)/W13)</f>
        <v>0</v>
      </c>
      <c r="Z13">
        <v>0</v>
      </c>
      <c r="AA13">
        <v>465.0800000000001</v>
      </c>
      <c r="AB13">
        <v>473.985</v>
      </c>
      <c r="AC13">
        <v>419.4200000000001</v>
      </c>
      <c r="AD13" s="1">
        <f>IF(AB13=0, "", (AC13-AB13)/AB13)</f>
        <v>0</v>
      </c>
      <c r="AE13">
        <v>1938.11</v>
      </c>
      <c r="AF13">
        <v>2120.78</v>
      </c>
      <c r="AG13">
        <v>2102.02</v>
      </c>
      <c r="AH13">
        <v>2134.55</v>
      </c>
      <c r="AI13" s="1">
        <f>IF(AG13=0, "", (AH13-AG13)/AG13)</f>
        <v>0</v>
      </c>
      <c r="AJ13">
        <v>0.0004240148700773716</v>
      </c>
      <c r="AK13">
        <v>0.000519341672770679</v>
      </c>
      <c r="AL13">
        <v>0.0005793464952148497</v>
      </c>
      <c r="AM13">
        <v>0.0007102083181962371</v>
      </c>
      <c r="AN13" s="1">
        <f>IF(AL13=0, "", (AM13-AL13)/AL13)</f>
        <v>0</v>
      </c>
      <c r="AO13">
        <v>1</v>
      </c>
    </row>
    <row r="14" spans="1:41">
      <c r="A14" t="s">
        <v>84</v>
      </c>
      <c r="B14" t="s">
        <v>44</v>
      </c>
      <c r="C14">
        <v>5526</v>
      </c>
      <c r="D14">
        <v>1612</v>
      </c>
      <c r="E14">
        <f>D14/C14</f>
        <v>0</v>
      </c>
      <c r="F14">
        <v>-1.756407513589963</v>
      </c>
      <c r="G14">
        <v>-2.268262086804122</v>
      </c>
      <c r="H14">
        <v>-1.888994791832622</v>
      </c>
      <c r="I14">
        <v>-2.06548295424582</v>
      </c>
      <c r="J14" s="1">
        <f>IF(H14=0, "", (I14-H14)/H14)</f>
        <v>0</v>
      </c>
      <c r="K14">
        <v>-20.5553730965642</v>
      </c>
      <c r="L14">
        <v>-52.2427058622775</v>
      </c>
      <c r="M14">
        <v>-39.82313613810464</v>
      </c>
      <c r="N14">
        <v>-36.57149708805146</v>
      </c>
      <c r="O14" s="1">
        <f>IF(M14=0, "", (N14-M14)/M14)</f>
        <v>0</v>
      </c>
      <c r="P14" t="s">
        <v>88</v>
      </c>
      <c r="Q14" t="s">
        <v>86</v>
      </c>
      <c r="R14" t="s">
        <v>85</v>
      </c>
      <c r="S14" t="s">
        <v>87</v>
      </c>
      <c r="T14" s="1">
        <f>IF(R14=0, "", (S14-R14)/R14)</f>
        <v>0</v>
      </c>
      <c r="U14">
        <v>0.3936764769932213</v>
      </c>
      <c r="V14">
        <v>0.7293753056189379</v>
      </c>
      <c r="W14">
        <v>0.5471303131868952</v>
      </c>
      <c r="X14">
        <v>0.4313161538319682</v>
      </c>
      <c r="Y14" s="1">
        <f>IF(W14=0, "", (X14-W14)/W14)</f>
        <v>0</v>
      </c>
      <c r="Z14">
        <v>0</v>
      </c>
      <c r="AA14">
        <v>249257.3199999995</v>
      </c>
      <c r="AB14">
        <v>144588.84</v>
      </c>
      <c r="AC14">
        <v>36314.68000000002</v>
      </c>
      <c r="AD14" s="1">
        <f>IF(AB14=0, "", (AC14-AB14)/AB14)</f>
        <v>0</v>
      </c>
      <c r="AE14">
        <v>110965</v>
      </c>
      <c r="AF14">
        <v>117373</v>
      </c>
      <c r="AG14">
        <v>119482</v>
      </c>
      <c r="AH14">
        <v>119272</v>
      </c>
      <c r="AI14" s="1">
        <f>IF(AG14=0, "", (AH14-AG14)/AG14)</f>
        <v>0</v>
      </c>
      <c r="AJ14">
        <v>0.02387510612607002</v>
      </c>
      <c r="AK14">
        <v>0.05791188776493073</v>
      </c>
      <c r="AL14">
        <v>0.04579892382025719</v>
      </c>
      <c r="AM14">
        <v>0.04186037555336952</v>
      </c>
      <c r="AN14" s="1">
        <f>IF(AL14=0, "", (AM14-AL14)/AL14)</f>
        <v>0</v>
      </c>
      <c r="AO14">
        <v>1</v>
      </c>
    </row>
    <row r="15" spans="1:41">
      <c r="A15" t="s">
        <v>89</v>
      </c>
      <c r="B15" t="s">
        <v>44</v>
      </c>
      <c r="C15">
        <v>67</v>
      </c>
      <c r="D15">
        <v>20</v>
      </c>
      <c r="E15">
        <f>D15/C15</f>
        <v>0</v>
      </c>
      <c r="F15">
        <v>0</v>
      </c>
      <c r="G15">
        <v>0</v>
      </c>
      <c r="H15">
        <v>-0.03048938965376473</v>
      </c>
      <c r="I15">
        <v>0</v>
      </c>
      <c r="J15" s="1">
        <f>IF(H15=0, "", (I15-H15)/H15)</f>
        <v>0</v>
      </c>
      <c r="K15">
        <v>0</v>
      </c>
      <c r="L15">
        <v>0</v>
      </c>
      <c r="M15">
        <v>-0.03048938965376473</v>
      </c>
      <c r="N15">
        <v>0</v>
      </c>
      <c r="O15" s="1">
        <f>IF(M15=0, "", (N15-M15)/M15)</f>
        <v>0</v>
      </c>
      <c r="P15" t="s">
        <v>74</v>
      </c>
      <c r="Q15" t="s">
        <v>75</v>
      </c>
      <c r="R15" t="s">
        <v>75</v>
      </c>
      <c r="S15" t="s">
        <v>90</v>
      </c>
      <c r="T15" s="1">
        <f>IF(R15=0, "", (S15-R15)/R15)</f>
        <v>0</v>
      </c>
      <c r="U15">
        <v>0.3150050542303107</v>
      </c>
      <c r="V15">
        <v>0.3351375042896524</v>
      </c>
      <c r="W15">
        <v>0.3358599207892686</v>
      </c>
      <c r="X15">
        <v>0.326776263219222</v>
      </c>
      <c r="Y15" s="1">
        <f>IF(W15=0, "", (X15-W15)/W15)</f>
        <v>0</v>
      </c>
      <c r="Z15">
        <v>0</v>
      </c>
      <c r="AA15">
        <v>399.74</v>
      </c>
      <c r="AB15">
        <v>180.87</v>
      </c>
      <c r="AC15">
        <v>179.54</v>
      </c>
      <c r="AD15" s="1">
        <f>IF(AB15=0, "", (AC15-AB15)/AB15)</f>
        <v>0</v>
      </c>
      <c r="AE15">
        <v>1585.27</v>
      </c>
      <c r="AF15">
        <v>1806.73</v>
      </c>
      <c r="AG15">
        <v>1799.23</v>
      </c>
      <c r="AH15">
        <v>1799.23</v>
      </c>
      <c r="AI15" s="1">
        <f>IF(AG15=0, "", (AH15-AG15)/AG15)</f>
        <v>0</v>
      </c>
      <c r="AJ15">
        <v>0.0003230715228710324</v>
      </c>
      <c r="AK15">
        <v>0.000505856063682586</v>
      </c>
      <c r="AL15">
        <v>0.000476211600471288</v>
      </c>
      <c r="AM15">
        <v>0.0003823276201728731</v>
      </c>
      <c r="AN15" s="1">
        <f>IF(AL15=0, "", (AM15-AL15)/AL15)</f>
        <v>0</v>
      </c>
      <c r="AO15">
        <v>1</v>
      </c>
    </row>
    <row r="16" spans="1:41">
      <c r="A16" t="s">
        <v>91</v>
      </c>
      <c r="B16" t="s">
        <v>44</v>
      </c>
      <c r="C16">
        <v>90</v>
      </c>
      <c r="D16">
        <v>30</v>
      </c>
      <c r="E16">
        <f>D16/C16</f>
        <v>0</v>
      </c>
      <c r="F16">
        <v>0</v>
      </c>
      <c r="G16">
        <v>0</v>
      </c>
      <c r="H16">
        <v>0</v>
      </c>
      <c r="I16">
        <v>0</v>
      </c>
      <c r="J16" s="1">
        <f>IF(H16=0, "", (I16-H16)/H16)</f>
        <v>0</v>
      </c>
      <c r="K16">
        <v>0</v>
      </c>
      <c r="L16">
        <v>0</v>
      </c>
      <c r="M16">
        <v>0</v>
      </c>
      <c r="N16">
        <v>0</v>
      </c>
      <c r="O16" s="1">
        <f>IF(M16=0, "", (N16-M16)/M16)</f>
        <v>0</v>
      </c>
      <c r="P16" t="s">
        <v>74</v>
      </c>
      <c r="Q16" t="s">
        <v>43</v>
      </c>
      <c r="R16" t="s">
        <v>43</v>
      </c>
      <c r="S16" t="s">
        <v>92</v>
      </c>
      <c r="T16" s="1">
        <f>IF(R16=0, "", (S16-R16)/R16)</f>
        <v>0</v>
      </c>
      <c r="U16">
        <v>0.30390181764709</v>
      </c>
      <c r="V16">
        <v>0.3152544299290208</v>
      </c>
      <c r="W16">
        <v>0.3302937312958028</v>
      </c>
      <c r="X16">
        <v>0.3200807885068295</v>
      </c>
      <c r="Y16" s="1">
        <f>IF(W16=0, "", (X16-W16)/W16)</f>
        <v>0</v>
      </c>
      <c r="Z16">
        <v>0</v>
      </c>
      <c r="AA16">
        <v>514.6849999999999</v>
      </c>
      <c r="AB16">
        <v>405.1549999999999</v>
      </c>
      <c r="AC16">
        <v>397.81</v>
      </c>
      <c r="AD16" s="1">
        <f>IF(AB16=0, "", (AC16-AB16)/AB16)</f>
        <v>0</v>
      </c>
      <c r="AE16">
        <v>1939.36</v>
      </c>
      <c r="AF16">
        <v>2153.32</v>
      </c>
      <c r="AG16">
        <v>2132.04</v>
      </c>
      <c r="AH16">
        <v>2142.05</v>
      </c>
      <c r="AI16" s="1">
        <f>IF(AG16=0, "", (AH16-AG16)/AG16)</f>
        <v>0</v>
      </c>
      <c r="AJ16">
        <v>0.0004278991837054491</v>
      </c>
      <c r="AK16">
        <v>0.0005241722683422267</v>
      </c>
      <c r="AL16">
        <v>0.0005579937133006752</v>
      </c>
      <c r="AM16">
        <v>0.0005420421366579831</v>
      </c>
      <c r="AN16" s="1">
        <f>IF(AL16=0, "", (AM16-AL16)/AL16)</f>
        <v>0</v>
      </c>
      <c r="AO16">
        <v>1</v>
      </c>
    </row>
    <row r="17" spans="1:41">
      <c r="A17" t="s">
        <v>93</v>
      </c>
      <c r="B17" t="s">
        <v>44</v>
      </c>
      <c r="C17">
        <v>77</v>
      </c>
      <c r="D17">
        <v>35</v>
      </c>
      <c r="E17">
        <f>D17/C17</f>
        <v>0</v>
      </c>
      <c r="F17">
        <v>0</v>
      </c>
      <c r="G17">
        <v>-0.03255440453797013</v>
      </c>
      <c r="H17">
        <v>-0.1229603120792602</v>
      </c>
      <c r="I17">
        <v>0</v>
      </c>
      <c r="J17" s="1">
        <f>IF(H17=0, "", (I17-H17)/H17)</f>
        <v>0</v>
      </c>
      <c r="K17">
        <v>0</v>
      </c>
      <c r="L17">
        <v>-0.03255440453797013</v>
      </c>
      <c r="M17">
        <v>-0.1229603120792602</v>
      </c>
      <c r="N17">
        <v>0</v>
      </c>
      <c r="O17" s="1">
        <f>IF(M17=0, "", (N17-M17)/M17)</f>
        <v>0</v>
      </c>
      <c r="P17" t="s">
        <v>94</v>
      </c>
      <c r="Q17" t="s">
        <v>75</v>
      </c>
      <c r="R17" t="s">
        <v>75</v>
      </c>
      <c r="S17" t="s">
        <v>74</v>
      </c>
      <c r="T17" s="1">
        <f>IF(R17=0, "", (S17-R17)/R17)</f>
        <v>0</v>
      </c>
      <c r="U17">
        <v>0.2919900270772537</v>
      </c>
      <c r="V17">
        <v>0.3219757550860425</v>
      </c>
      <c r="W17">
        <v>0.3185187616270395</v>
      </c>
      <c r="X17">
        <v>0.3118315117492513</v>
      </c>
      <c r="Y17" s="1">
        <f>IF(W17=0, "", (X17-W17)/W17)</f>
        <v>0</v>
      </c>
      <c r="Z17">
        <v>0</v>
      </c>
      <c r="AA17">
        <v>485.2999999999999</v>
      </c>
      <c r="AB17">
        <v>552.7800000000001</v>
      </c>
      <c r="AC17">
        <v>464.2599999999999</v>
      </c>
      <c r="AD17" s="1">
        <f>IF(AB17=0, "", (AC17-AB17)/AB17)</f>
        <v>0</v>
      </c>
      <c r="AE17">
        <v>2421.07</v>
      </c>
      <c r="AF17">
        <v>2603.75</v>
      </c>
      <c r="AG17">
        <v>2577.47</v>
      </c>
      <c r="AH17">
        <v>2566.21</v>
      </c>
      <c r="AI17" s="1">
        <f>IF(AG17=0, "", (AH17-AG17)/AG17)</f>
        <v>0</v>
      </c>
      <c r="AJ17">
        <v>0.0004568411968648434</v>
      </c>
      <c r="AK17">
        <v>0.0007333214743994176</v>
      </c>
      <c r="AL17">
        <v>0.0007218431564979255</v>
      </c>
      <c r="AM17">
        <v>0.0006353938370011747</v>
      </c>
      <c r="AN17" s="1">
        <f>IF(AL17=0, "", (AM17-AL17)/AL17)</f>
        <v>0</v>
      </c>
      <c r="AO17">
        <v>1</v>
      </c>
    </row>
    <row r="18" spans="1:41">
      <c r="A18" t="s">
        <v>95</v>
      </c>
      <c r="B18" t="s">
        <v>44</v>
      </c>
      <c r="C18">
        <v>85</v>
      </c>
      <c r="D18">
        <v>30</v>
      </c>
      <c r="E18">
        <f>D18/C18</f>
        <v>0</v>
      </c>
      <c r="F18">
        <v>0</v>
      </c>
      <c r="G18">
        <v>0</v>
      </c>
      <c r="H18">
        <v>0</v>
      </c>
      <c r="I18">
        <v>0</v>
      </c>
      <c r="J18" s="1">
        <f>IF(H18=0, "", (I18-H18)/H18)</f>
        <v>0</v>
      </c>
      <c r="K18">
        <v>0</v>
      </c>
      <c r="L18">
        <v>0</v>
      </c>
      <c r="M18">
        <v>0</v>
      </c>
      <c r="N18">
        <v>0</v>
      </c>
      <c r="O18" s="1">
        <f>IF(M18=0, "", (N18-M18)/M18)</f>
        <v>0</v>
      </c>
      <c r="P18" t="s">
        <v>71</v>
      </c>
      <c r="Q18" t="s">
        <v>75</v>
      </c>
      <c r="R18" t="s">
        <v>43</v>
      </c>
      <c r="S18" t="s">
        <v>75</v>
      </c>
      <c r="T18" s="1">
        <f>IF(R18=0, "", (S18-R18)/R18)</f>
        <v>0</v>
      </c>
      <c r="U18">
        <v>0.3062105545099755</v>
      </c>
      <c r="V18">
        <v>0.3228749485643498</v>
      </c>
      <c r="W18">
        <v>0.3303580065852935</v>
      </c>
      <c r="X18">
        <v>0.3323434370832784</v>
      </c>
      <c r="Y18" s="1">
        <f>IF(W18=0, "", (X18-W18)/W18)</f>
        <v>0</v>
      </c>
      <c r="Z18">
        <v>0</v>
      </c>
      <c r="AA18">
        <v>531.3599999999999</v>
      </c>
      <c r="AB18">
        <v>516.275</v>
      </c>
      <c r="AC18">
        <v>462.0549999999999</v>
      </c>
      <c r="AD18" s="1">
        <f>IF(AB18=0, "", (AC18-AB18)/AB18)</f>
        <v>0</v>
      </c>
      <c r="AE18">
        <v>1984.4</v>
      </c>
      <c r="AF18">
        <v>2145.81</v>
      </c>
      <c r="AG18">
        <v>2168.33</v>
      </c>
      <c r="AH18">
        <v>2157.07</v>
      </c>
      <c r="AI18" s="1">
        <f>IF(AG18=0, "", (AH18-AG18)/AG18)</f>
        <v>0</v>
      </c>
      <c r="AJ18">
        <v>0.0004306513583287597</v>
      </c>
      <c r="AK18">
        <v>0.0005331411375664175</v>
      </c>
      <c r="AL18">
        <v>0.0005442510591819882</v>
      </c>
      <c r="AM18">
        <v>0.0007121518719941378</v>
      </c>
      <c r="AN18" s="1">
        <f>IF(AL18=0, "", (AM18-AL18)/AL18)</f>
        <v>0</v>
      </c>
      <c r="AO18">
        <v>1</v>
      </c>
    </row>
    <row r="19" spans="1:41">
      <c r="A19" t="s">
        <v>96</v>
      </c>
      <c r="B19" t="s">
        <v>44</v>
      </c>
      <c r="C19">
        <v>117</v>
      </c>
      <c r="D19">
        <v>32</v>
      </c>
      <c r="E19">
        <f>D19/C19</f>
        <v>0</v>
      </c>
      <c r="F19">
        <v>0</v>
      </c>
      <c r="G19">
        <v>0</v>
      </c>
      <c r="H19">
        <v>0</v>
      </c>
      <c r="I19">
        <v>0</v>
      </c>
      <c r="J19" s="1">
        <f>IF(H19=0, "", (I19-H19)/H19)</f>
        <v>0</v>
      </c>
      <c r="K19">
        <v>0</v>
      </c>
      <c r="L19">
        <v>0</v>
      </c>
      <c r="M19">
        <v>0</v>
      </c>
      <c r="N19">
        <v>0</v>
      </c>
      <c r="O19" s="1">
        <f>IF(M19=0, "", (N19-M19)/M19)</f>
        <v>0</v>
      </c>
      <c r="P19" t="s">
        <v>42</v>
      </c>
      <c r="Q19" t="s">
        <v>98</v>
      </c>
      <c r="R19" t="s">
        <v>97</v>
      </c>
      <c r="S19" t="s">
        <v>99</v>
      </c>
      <c r="T19" s="1">
        <f>IF(R19=0, "", (S19-R19)/R19)</f>
        <v>0</v>
      </c>
      <c r="U19">
        <v>0.3283472702865484</v>
      </c>
      <c r="V19">
        <v>0.3608316191448057</v>
      </c>
      <c r="W19">
        <v>0.3429135462652204</v>
      </c>
      <c r="X19">
        <v>0.3521342286206404</v>
      </c>
      <c r="Y19" s="1">
        <f>IF(W19=0, "", (X19-W19)/W19)</f>
        <v>0</v>
      </c>
      <c r="Z19">
        <v>0</v>
      </c>
      <c r="AA19">
        <v>701.4999999999999</v>
      </c>
      <c r="AB19">
        <v>428.5799999999999</v>
      </c>
      <c r="AC19">
        <v>377.5299999999999</v>
      </c>
      <c r="AD19" s="1">
        <f>IF(AB19=0, "", (AC19-AB19)/AB19)</f>
        <v>0</v>
      </c>
      <c r="AE19">
        <v>2907.79</v>
      </c>
      <c r="AF19">
        <v>3071.7</v>
      </c>
      <c r="AG19">
        <v>3101.72</v>
      </c>
      <c r="AH19">
        <v>3112.99</v>
      </c>
      <c r="AI19" s="1">
        <f>IF(AG19=0, "", (AH19-AG19)/AG19)</f>
        <v>0</v>
      </c>
      <c r="AJ19">
        <v>0.001034353976137936</v>
      </c>
      <c r="AK19">
        <v>0.0009335825452581048</v>
      </c>
      <c r="AL19">
        <v>0.001125903334468603</v>
      </c>
      <c r="AM19">
        <v>0.001160255051217973</v>
      </c>
      <c r="AN19" s="1">
        <f>IF(AL19=0, "", (AM19-AL19)/AL19)</f>
        <v>0</v>
      </c>
      <c r="AO19">
        <v>1</v>
      </c>
    </row>
    <row r="20" spans="1:41">
      <c r="A20" t="s">
        <v>100</v>
      </c>
      <c r="B20" t="s">
        <v>44</v>
      </c>
      <c r="C20">
        <v>95</v>
      </c>
      <c r="D20">
        <v>30</v>
      </c>
      <c r="E20">
        <f>D20/C20</f>
        <v>0</v>
      </c>
      <c r="F20">
        <v>0</v>
      </c>
      <c r="G20">
        <v>0</v>
      </c>
      <c r="H20">
        <v>0</v>
      </c>
      <c r="I20">
        <v>0</v>
      </c>
      <c r="J20" s="1">
        <f>IF(H20=0, "", (I20-H20)/H20)</f>
        <v>0</v>
      </c>
      <c r="K20">
        <v>0</v>
      </c>
      <c r="L20">
        <v>0</v>
      </c>
      <c r="M20">
        <v>0</v>
      </c>
      <c r="N20">
        <v>0</v>
      </c>
      <c r="O20" s="1">
        <f>IF(M20=0, "", (N20-M20)/M20)</f>
        <v>0</v>
      </c>
      <c r="P20" t="s">
        <v>94</v>
      </c>
      <c r="Q20" t="s">
        <v>75</v>
      </c>
      <c r="R20" t="s">
        <v>75</v>
      </c>
      <c r="S20" t="s">
        <v>99</v>
      </c>
      <c r="T20" s="1">
        <f>IF(R20=0, "", (S20-R20)/R20)</f>
        <v>0</v>
      </c>
      <c r="U20">
        <v>0.2847214883431617</v>
      </c>
      <c r="V20">
        <v>0.3158489091858191</v>
      </c>
      <c r="W20">
        <v>0.3225515223388898</v>
      </c>
      <c r="X20">
        <v>0.3171065045630935</v>
      </c>
      <c r="Y20" s="1">
        <f>IF(W20=0, "", (X20-W20)/W20)</f>
        <v>0</v>
      </c>
      <c r="Z20">
        <v>0</v>
      </c>
      <c r="AA20">
        <v>404.4050000000001</v>
      </c>
      <c r="AB20">
        <v>349.48</v>
      </c>
      <c r="AC20">
        <v>345.105</v>
      </c>
      <c r="AD20" s="1">
        <f>IF(AB20=0, "", (AC20-AB20)/AB20)</f>
        <v>0</v>
      </c>
      <c r="AE20">
        <v>2018.19</v>
      </c>
      <c r="AF20">
        <v>2234.64</v>
      </c>
      <c r="AG20">
        <v>2234.64</v>
      </c>
      <c r="AH20">
        <v>2222.13</v>
      </c>
      <c r="AI20" s="1">
        <f>IF(AG20=0, "", (AH20-AG20)/AG20)</f>
        <v>0</v>
      </c>
      <c r="AJ20">
        <v>0.0004304295289330184</v>
      </c>
      <c r="AK20">
        <v>0.0005926339072175324</v>
      </c>
      <c r="AL20">
        <v>0.0005683366907760501</v>
      </c>
      <c r="AM20">
        <v>0.0006341626867651939</v>
      </c>
      <c r="AN20" s="1">
        <f>IF(AL20=0, "", (AM20-AL20)/AL20)</f>
        <v>0</v>
      </c>
      <c r="AO20">
        <v>1</v>
      </c>
    </row>
    <row r="21" spans="1:41">
      <c r="A21" t="s">
        <v>101</v>
      </c>
      <c r="B21" t="s">
        <v>44</v>
      </c>
      <c r="C21">
        <v>673</v>
      </c>
      <c r="D21">
        <v>244</v>
      </c>
      <c r="E21">
        <f>D21/C21</f>
        <v>0</v>
      </c>
      <c r="F21">
        <v>-0.4883604769917929</v>
      </c>
      <c r="G21">
        <v>-0.4855884720655111</v>
      </c>
      <c r="H21">
        <v>-0.5950484717835145</v>
      </c>
      <c r="I21">
        <v>-0.5034781623010661</v>
      </c>
      <c r="J21" s="1">
        <f>IF(H21=0, "", (I21-H21)/H21)</f>
        <v>0</v>
      </c>
      <c r="K21">
        <v>-3.69874719099689</v>
      </c>
      <c r="L21">
        <v>-5.337020754176742</v>
      </c>
      <c r="M21">
        <v>-6.381210407364154</v>
      </c>
      <c r="N21">
        <v>-8.087199583355492</v>
      </c>
      <c r="O21" s="1">
        <f>IF(M21=0, "", (N21-M21)/M21)</f>
        <v>0</v>
      </c>
      <c r="P21" t="s">
        <v>48</v>
      </c>
      <c r="Q21" t="s">
        <v>103</v>
      </c>
      <c r="R21" t="s">
        <v>102</v>
      </c>
      <c r="S21" t="s">
        <v>62</v>
      </c>
      <c r="T21" s="1">
        <f>IF(R21=0, "", (S21-R21)/R21)</f>
        <v>0</v>
      </c>
      <c r="U21">
        <v>0.3640612708083014</v>
      </c>
      <c r="V21">
        <v>0.4146936943269647</v>
      </c>
      <c r="W21">
        <v>0.4008051528215509</v>
      </c>
      <c r="X21">
        <v>0.3935796145364808</v>
      </c>
      <c r="Y21" s="1">
        <f>IF(W21=0, "", (X21-W21)/W21)</f>
        <v>0</v>
      </c>
      <c r="Z21">
        <v>0</v>
      </c>
      <c r="AA21">
        <v>5718.114999999997</v>
      </c>
      <c r="AB21">
        <v>5463.164999999997</v>
      </c>
      <c r="AC21">
        <v>4765.354999999999</v>
      </c>
      <c r="AD21" s="1">
        <f>IF(AB21=0, "", (AC21-AB21)/AB21)</f>
        <v>0</v>
      </c>
      <c r="AE21">
        <v>15305.9</v>
      </c>
      <c r="AF21">
        <v>17186.5</v>
      </c>
      <c r="AG21">
        <v>17195.2</v>
      </c>
      <c r="AH21">
        <v>16977.5</v>
      </c>
      <c r="AI21" s="1">
        <f>IF(AG21=0, "", (AH21-AG21)/AG21)</f>
        <v>0</v>
      </c>
      <c r="AJ21">
        <v>0.003314618486911058</v>
      </c>
      <c r="AK21">
        <v>0.005329221952706575</v>
      </c>
      <c r="AL21">
        <v>0.004626416601240635</v>
      </c>
      <c r="AM21">
        <v>0.005027451552450657</v>
      </c>
      <c r="AN21" s="1">
        <f>IF(AL21=0, "", (AM21-AL21)/AL21)</f>
        <v>0</v>
      </c>
      <c r="AO21">
        <v>1</v>
      </c>
    </row>
    <row r="22" spans="1:41">
      <c r="A22" t="s">
        <v>104</v>
      </c>
      <c r="B22" t="s">
        <v>44</v>
      </c>
      <c r="C22">
        <v>105</v>
      </c>
      <c r="D22">
        <v>76</v>
      </c>
      <c r="E22">
        <f>D22/C22</f>
        <v>0</v>
      </c>
      <c r="F22">
        <v>-0.01298783339859595</v>
      </c>
      <c r="G22">
        <v>-0.1810862622220293</v>
      </c>
      <c r="H22">
        <v>-0.08918022128743908</v>
      </c>
      <c r="I22">
        <v>0</v>
      </c>
      <c r="J22" s="1">
        <f>IF(H22=0, "", (I22-H22)/H22)</f>
        <v>0</v>
      </c>
      <c r="K22">
        <v>-0.01298783339859595</v>
      </c>
      <c r="L22">
        <v>-0.2887397069832697</v>
      </c>
      <c r="M22">
        <v>-0.1564695084454113</v>
      </c>
      <c r="N22">
        <v>0</v>
      </c>
      <c r="O22" s="1">
        <f>IF(M22=0, "", (N22-M22)/M22)</f>
        <v>0</v>
      </c>
      <c r="P22" t="s">
        <v>90</v>
      </c>
      <c r="Q22" t="s">
        <v>106</v>
      </c>
      <c r="R22" t="s">
        <v>105</v>
      </c>
      <c r="S22" t="s">
        <v>107</v>
      </c>
      <c r="T22" s="1">
        <f>IF(R22=0, "", (S22-R22)/R22)</f>
        <v>0</v>
      </c>
      <c r="U22">
        <v>0.3280591471992</v>
      </c>
      <c r="V22">
        <v>0.3703997343840411</v>
      </c>
      <c r="W22">
        <v>0.356757835706799</v>
      </c>
      <c r="X22">
        <v>0.3577625867132474</v>
      </c>
      <c r="Y22" s="1">
        <f>IF(W22=0, "", (X22-W22)/W22)</f>
        <v>0</v>
      </c>
      <c r="Z22">
        <v>0</v>
      </c>
      <c r="AA22">
        <v>996.9300000000001</v>
      </c>
      <c r="AB22">
        <v>1058.05</v>
      </c>
      <c r="AC22">
        <v>963.3</v>
      </c>
      <c r="AD22" s="1">
        <f>IF(AB22=0, "", (AC22-AB22)/AB22)</f>
        <v>0</v>
      </c>
      <c r="AE22">
        <v>4969.77</v>
      </c>
      <c r="AF22">
        <v>5527.8</v>
      </c>
      <c r="AG22">
        <v>5440.22</v>
      </c>
      <c r="AH22">
        <v>5421.45</v>
      </c>
      <c r="AI22" s="1">
        <f>IF(AG22=0, "", (AH22-AG22)/AG22)</f>
        <v>0</v>
      </c>
      <c r="AJ22">
        <v>0.0009466147748753428</v>
      </c>
      <c r="AK22">
        <v>0.001196617376990616</v>
      </c>
      <c r="AL22">
        <v>0.00117934332229197</v>
      </c>
      <c r="AM22">
        <v>0.001215614262036979</v>
      </c>
      <c r="AN22" s="1">
        <f>IF(AL22=0, "", (AM22-AL22)/AL22)</f>
        <v>0</v>
      </c>
      <c r="AO22">
        <v>1</v>
      </c>
    </row>
    <row r="23" spans="1:41">
      <c r="A23" t="s">
        <v>108</v>
      </c>
      <c r="B23" t="s">
        <v>44</v>
      </c>
      <c r="C23">
        <v>105</v>
      </c>
      <c r="D23">
        <v>75</v>
      </c>
      <c r="E23">
        <f>D23/C23</f>
        <v>0</v>
      </c>
      <c r="F23">
        <v>-0.09899459310269486</v>
      </c>
      <c r="G23">
        <v>-0.3858318218571611</v>
      </c>
      <c r="H23">
        <v>-0.06647749205940715</v>
      </c>
      <c r="I23">
        <v>-0.08849188299270394</v>
      </c>
      <c r="J23" s="1">
        <f>IF(H23=0, "", (I23-H23)/H23)</f>
        <v>0</v>
      </c>
      <c r="K23">
        <v>-0.09899459310269486</v>
      </c>
      <c r="L23">
        <v>-0.6931877490438482</v>
      </c>
      <c r="M23">
        <v>-0.1186446530158821</v>
      </c>
      <c r="N23">
        <v>-0.08849188299270394</v>
      </c>
      <c r="O23" s="1">
        <f>IF(M23=0, "", (N23-M23)/M23)</f>
        <v>0</v>
      </c>
      <c r="P23" t="s">
        <v>43</v>
      </c>
      <c r="Q23" t="s">
        <v>98</v>
      </c>
      <c r="R23" t="s">
        <v>109</v>
      </c>
      <c r="S23" t="s">
        <v>64</v>
      </c>
      <c r="T23" s="1">
        <f>IF(R23=0, "", (S23-R23)/R23)</f>
        <v>0</v>
      </c>
      <c r="U23">
        <v>0.3215928467543265</v>
      </c>
      <c r="V23">
        <v>0.3603730215049207</v>
      </c>
      <c r="W23">
        <v>0.3591268319041324</v>
      </c>
      <c r="X23">
        <v>0.3487110429313295</v>
      </c>
      <c r="Y23" s="1">
        <f>IF(W23=0, "", (X23-W23)/W23)</f>
        <v>0</v>
      </c>
      <c r="Z23">
        <v>0</v>
      </c>
      <c r="AA23">
        <v>800.9900000000001</v>
      </c>
      <c r="AB23">
        <v>1030.745</v>
      </c>
      <c r="AC23">
        <v>889.28</v>
      </c>
      <c r="AD23" s="1">
        <f>IF(AB23=0, "", (AC23-AB23)/AB23)</f>
        <v>0</v>
      </c>
      <c r="AE23">
        <v>4904.7</v>
      </c>
      <c r="AF23">
        <v>5433.96</v>
      </c>
      <c r="AG23">
        <v>5420.2</v>
      </c>
      <c r="AH23">
        <v>5331.36</v>
      </c>
      <c r="AI23" s="1">
        <f>IF(AG23=0, "", (AH23-AG23)/AG23)</f>
        <v>0</v>
      </c>
      <c r="AJ23">
        <v>0.0009469632641412318</v>
      </c>
      <c r="AK23">
        <v>0.001180011313408613</v>
      </c>
      <c r="AL23">
        <v>0.001269483589567244</v>
      </c>
      <c r="AM23">
        <v>0.001182767446152866</v>
      </c>
      <c r="AN23" s="1">
        <f>IF(AL23=0, "", (AM23-AL23)/AL23)</f>
        <v>0</v>
      </c>
      <c r="AO23">
        <v>1</v>
      </c>
    </row>
    <row r="24" spans="1:41">
      <c r="A24" t="s">
        <v>110</v>
      </c>
      <c r="B24" t="s">
        <v>44</v>
      </c>
      <c r="C24">
        <v>131</v>
      </c>
      <c r="D24">
        <v>42</v>
      </c>
      <c r="E24">
        <f>D24/C24</f>
        <v>0</v>
      </c>
      <c r="F24">
        <v>-0.2555351558236917</v>
      </c>
      <c r="G24">
        <v>-0.3489590937204785</v>
      </c>
      <c r="H24">
        <v>-0.3931877157371564</v>
      </c>
      <c r="I24">
        <v>-0.05084732778747311</v>
      </c>
      <c r="J24" s="1">
        <f>IF(H24=0, "", (I24-H24)/H24)</f>
        <v>0</v>
      </c>
      <c r="K24">
        <v>-0.4071019192536992</v>
      </c>
      <c r="L24">
        <v>-0.803727773750752</v>
      </c>
      <c r="M24">
        <v>-0.8426442004889645</v>
      </c>
      <c r="N24">
        <v>-0.05084732778747311</v>
      </c>
      <c r="O24" s="1">
        <f>IF(M24=0, "", (N24-M24)/M24)</f>
        <v>0</v>
      </c>
      <c r="P24" t="s">
        <v>42</v>
      </c>
      <c r="Q24" t="s">
        <v>111</v>
      </c>
      <c r="R24" t="s">
        <v>63</v>
      </c>
      <c r="S24" t="s">
        <v>49</v>
      </c>
      <c r="T24" s="1">
        <f>IF(R24=0, "", (S24-R24)/R24)</f>
        <v>0</v>
      </c>
      <c r="U24">
        <v>0.3508976012452784</v>
      </c>
      <c r="V24">
        <v>0.4048484742989725</v>
      </c>
      <c r="W24">
        <v>0.3659624282919327</v>
      </c>
      <c r="X24">
        <v>0.3684842271115826</v>
      </c>
      <c r="Y24" s="1">
        <f>IF(W24=0, "", (X24-W24)/W24)</f>
        <v>0</v>
      </c>
      <c r="Z24">
        <v>0</v>
      </c>
      <c r="AA24">
        <v>955.5499999999998</v>
      </c>
      <c r="AB24">
        <v>452.22</v>
      </c>
      <c r="AC24">
        <v>444.8149999999999</v>
      </c>
      <c r="AD24" s="1">
        <f>IF(AB24=0, "", (AC24-AB24)/AB24)</f>
        <v>0</v>
      </c>
      <c r="AE24">
        <v>3608.46</v>
      </c>
      <c r="AF24">
        <v>3926.27</v>
      </c>
      <c r="AG24">
        <v>3947.54</v>
      </c>
      <c r="AH24">
        <v>3925.01</v>
      </c>
      <c r="AI24" s="1">
        <f>IF(AG24=0, "", (AH24-AG24)/AG24)</f>
        <v>0</v>
      </c>
      <c r="AJ24">
        <v>0.0006962129846215248</v>
      </c>
      <c r="AK24">
        <v>0.001094353618100286</v>
      </c>
      <c r="AL24">
        <v>0.001086117699742317</v>
      </c>
      <c r="AM24">
        <v>0.0008484577992931008</v>
      </c>
      <c r="AN24" s="1">
        <f>IF(AL24=0, "", (AM24-AL24)/AL24)</f>
        <v>0</v>
      </c>
      <c r="AO24">
        <v>1</v>
      </c>
    </row>
    <row r="25" spans="1:41">
      <c r="A25" t="s">
        <v>112</v>
      </c>
      <c r="B25" t="s">
        <v>44</v>
      </c>
      <c r="C25">
        <v>139</v>
      </c>
      <c r="D25">
        <v>42</v>
      </c>
      <c r="E25">
        <f>D25/C25</f>
        <v>0</v>
      </c>
      <c r="F25">
        <v>0</v>
      </c>
      <c r="G25">
        <v>-0.2573097363564411</v>
      </c>
      <c r="H25">
        <v>0</v>
      </c>
      <c r="I25">
        <v>0</v>
      </c>
      <c r="J25" s="1">
        <f>IF(H25=0, "", (I25-H25)/H25)</f>
        <v>0</v>
      </c>
      <c r="K25">
        <v>0</v>
      </c>
      <c r="L25">
        <v>-0.500584476927844</v>
      </c>
      <c r="M25">
        <v>0</v>
      </c>
      <c r="N25">
        <v>0</v>
      </c>
      <c r="O25" s="1">
        <f>IF(M25=0, "", (N25-M25)/M25)</f>
        <v>0</v>
      </c>
      <c r="P25" t="s">
        <v>90</v>
      </c>
      <c r="Q25" t="s">
        <v>105</v>
      </c>
      <c r="R25" t="s">
        <v>99</v>
      </c>
      <c r="S25" t="s">
        <v>99</v>
      </c>
      <c r="T25" s="1">
        <f>IF(R25=0, "", (S25-R25)/R25)</f>
        <v>0</v>
      </c>
      <c r="U25">
        <v>0.3420092868732459</v>
      </c>
      <c r="V25">
        <v>0.3785046201662429</v>
      </c>
      <c r="W25">
        <v>0.35720059588015</v>
      </c>
      <c r="X25">
        <v>0.3485103467689679</v>
      </c>
      <c r="Y25" s="1">
        <f>IF(W25=0, "", (X25-W25)/W25)</f>
        <v>0</v>
      </c>
      <c r="Z25">
        <v>0</v>
      </c>
      <c r="AA25">
        <v>794.7150000000001</v>
      </c>
      <c r="AB25">
        <v>502.8800000000001</v>
      </c>
      <c r="AC25">
        <v>503.0799999999999</v>
      </c>
      <c r="AD25" s="1">
        <f>IF(AB25=0, "", (AC25-AB25)/AB25)</f>
        <v>0</v>
      </c>
      <c r="AE25">
        <v>3688.54</v>
      </c>
      <c r="AF25">
        <v>4026.36</v>
      </c>
      <c r="AG25">
        <v>4051.39</v>
      </c>
      <c r="AH25">
        <v>4021.36</v>
      </c>
      <c r="AI25" s="1">
        <f>IF(AG25=0, "", (AH25-AG25)/AG25)</f>
        <v>0</v>
      </c>
      <c r="AJ25">
        <v>0.0007025631493888795</v>
      </c>
      <c r="AK25">
        <v>0.001098374137654901</v>
      </c>
      <c r="AL25">
        <v>0.0009983746567741036</v>
      </c>
      <c r="AM25">
        <v>0.0008650958188809454</v>
      </c>
      <c r="AN25" s="1">
        <f>IF(AL25=0, "", (AM25-AL25)/AL25)</f>
        <v>0</v>
      </c>
      <c r="AO25">
        <v>1</v>
      </c>
    </row>
    <row r="26" spans="1:41">
      <c r="A26" t="s">
        <v>113</v>
      </c>
      <c r="B26" t="s">
        <v>44</v>
      </c>
      <c r="C26">
        <v>161</v>
      </c>
      <c r="D26">
        <v>67</v>
      </c>
      <c r="E26">
        <f>D26/C26</f>
        <v>0</v>
      </c>
      <c r="F26">
        <v>-0.06437517368051933</v>
      </c>
      <c r="G26">
        <v>0</v>
      </c>
      <c r="H26">
        <v>0</v>
      </c>
      <c r="I26">
        <v>0</v>
      </c>
      <c r="J26" s="1">
        <f>IF(H26=0, "", (I26-H26)/H26)</f>
        <v>0</v>
      </c>
      <c r="K26">
        <v>-0.06437517368051933</v>
      </c>
      <c r="L26">
        <v>0</v>
      </c>
      <c r="M26">
        <v>0</v>
      </c>
      <c r="N26">
        <v>0</v>
      </c>
      <c r="O26" s="1">
        <f>IF(M26=0, "", (N26-M26)/M26)</f>
        <v>0</v>
      </c>
      <c r="P26" t="s">
        <v>43</v>
      </c>
      <c r="Q26" t="s">
        <v>98</v>
      </c>
      <c r="R26" t="s">
        <v>114</v>
      </c>
      <c r="S26" t="s">
        <v>90</v>
      </c>
      <c r="T26" s="1">
        <f>IF(R26=0, "", (S26-R26)/R26)</f>
        <v>0</v>
      </c>
      <c r="U26">
        <v>0.2978069468382474</v>
      </c>
      <c r="V26">
        <v>0.3322435003906129</v>
      </c>
      <c r="W26">
        <v>0.3245019627677245</v>
      </c>
      <c r="X26">
        <v>0.3254073432957316</v>
      </c>
      <c r="Y26" s="1">
        <f>IF(W26=0, "", (X26-W26)/W26)</f>
        <v>0</v>
      </c>
      <c r="Z26">
        <v>0</v>
      </c>
      <c r="AA26">
        <v>803.84</v>
      </c>
      <c r="AB26">
        <v>1149.32</v>
      </c>
      <c r="AC26">
        <v>840.46</v>
      </c>
      <c r="AD26" s="1">
        <f>IF(AB26=0, "", (AC26-AB26)/AB26)</f>
        <v>0</v>
      </c>
      <c r="AE26">
        <v>4720.78</v>
      </c>
      <c r="AF26">
        <v>5032.33</v>
      </c>
      <c r="AG26">
        <v>5016.06</v>
      </c>
      <c r="AH26">
        <v>5002.3</v>
      </c>
      <c r="AI26" s="1">
        <f>IF(AG26=0, "", (AH26-AG26)/AG26)</f>
        <v>0</v>
      </c>
      <c r="AJ26">
        <v>0.0008589462377130985</v>
      </c>
      <c r="AK26">
        <v>0.001419644569978118</v>
      </c>
      <c r="AL26">
        <v>0.001325764809735119</v>
      </c>
      <c r="AM26">
        <v>0.001198193756863475</v>
      </c>
      <c r="AN26" s="1">
        <f>IF(AL26=0, "", (AM26-AL26)/AL26)</f>
        <v>0</v>
      </c>
      <c r="AO26">
        <v>1</v>
      </c>
    </row>
    <row r="27" spans="1:41">
      <c r="A27" t="s">
        <v>115</v>
      </c>
      <c r="B27" t="s">
        <v>44</v>
      </c>
      <c r="C27">
        <v>551</v>
      </c>
      <c r="D27">
        <v>210</v>
      </c>
      <c r="E27">
        <f>D27/C27</f>
        <v>0</v>
      </c>
      <c r="F27">
        <v>-0.2873825703195855</v>
      </c>
      <c r="G27">
        <v>-0.07521361524265202</v>
      </c>
      <c r="H27">
        <v>-0.1702584788012344</v>
      </c>
      <c r="I27">
        <v>-0.3047571170571451</v>
      </c>
      <c r="J27" s="1">
        <f>IF(H27=0, "", (I27-H27)/H27)</f>
        <v>0</v>
      </c>
      <c r="K27">
        <v>-1.900224031910475</v>
      </c>
      <c r="L27">
        <v>-0.419765567519936</v>
      </c>
      <c r="M27">
        <v>-1.206585088216659</v>
      </c>
      <c r="N27">
        <v>-2.115737867010599</v>
      </c>
      <c r="O27" s="1">
        <f>IF(M27=0, "", (N27-M27)/M27)</f>
        <v>0</v>
      </c>
      <c r="P27" t="s">
        <v>49</v>
      </c>
      <c r="Q27" t="s">
        <v>117</v>
      </c>
      <c r="R27" t="s">
        <v>116</v>
      </c>
      <c r="S27" t="s">
        <v>92</v>
      </c>
      <c r="T27" s="1">
        <f>IF(R27=0, "", (S27-R27)/R27)</f>
        <v>0</v>
      </c>
      <c r="U27">
        <v>0.3387474400444488</v>
      </c>
      <c r="V27">
        <v>0.4153327623429782</v>
      </c>
      <c r="W27">
        <v>0.3818950079085492</v>
      </c>
      <c r="X27">
        <v>0.3626319840062954</v>
      </c>
      <c r="Y27" s="1">
        <f>IF(W27=0, "", (X27-W27)/W27)</f>
        <v>0</v>
      </c>
      <c r="Z27">
        <v>0</v>
      </c>
      <c r="AA27">
        <v>6362.185</v>
      </c>
      <c r="AB27">
        <v>5516.055</v>
      </c>
      <c r="AC27">
        <v>3435.565000000001</v>
      </c>
      <c r="AD27" s="1">
        <f>IF(AB27=0, "", (AC27-AB27)/AB27)</f>
        <v>0</v>
      </c>
      <c r="AE27">
        <v>13329</v>
      </c>
      <c r="AF27">
        <v>14595.2</v>
      </c>
      <c r="AG27">
        <v>14551.5</v>
      </c>
      <c r="AH27">
        <v>14637.8</v>
      </c>
      <c r="AI27" s="1">
        <f>IF(AG27=0, "", (AH27-AG27)/AG27)</f>
        <v>0</v>
      </c>
      <c r="AJ27">
        <v>0.0026197275146842</v>
      </c>
      <c r="AK27">
        <v>0.004826723597943783</v>
      </c>
      <c r="AL27">
        <v>0.004240959882736206</v>
      </c>
      <c r="AM27">
        <v>0.003761357627809048</v>
      </c>
      <c r="AN27" s="1">
        <f>IF(AL27=0, "", (AM27-AL27)/AL27)</f>
        <v>0</v>
      </c>
      <c r="AO27">
        <v>1</v>
      </c>
    </row>
    <row r="28" spans="1:41">
      <c r="A28" t="s">
        <v>118</v>
      </c>
      <c r="B28" t="s">
        <v>44</v>
      </c>
      <c r="C28">
        <v>217</v>
      </c>
      <c r="D28">
        <v>68</v>
      </c>
      <c r="E28">
        <f>D28/C28</f>
        <v>0</v>
      </c>
      <c r="F28">
        <v>0</v>
      </c>
      <c r="G28">
        <v>0</v>
      </c>
      <c r="H28">
        <v>0</v>
      </c>
      <c r="I28">
        <v>0</v>
      </c>
      <c r="J28" s="1">
        <f>IF(H28=0, "", (I28-H28)/H28)</f>
        <v>0</v>
      </c>
      <c r="K28">
        <v>0</v>
      </c>
      <c r="L28">
        <v>0</v>
      </c>
      <c r="M28">
        <v>0</v>
      </c>
      <c r="N28">
        <v>0</v>
      </c>
      <c r="O28" s="1">
        <f>IF(M28=0, "", (N28-M28)/M28)</f>
        <v>0</v>
      </c>
      <c r="P28" t="s">
        <v>99</v>
      </c>
      <c r="Q28" t="s">
        <v>107</v>
      </c>
      <c r="R28" t="s">
        <v>48</v>
      </c>
      <c r="S28" t="s">
        <v>106</v>
      </c>
      <c r="T28" s="1">
        <f>IF(R28=0, "", (S28-R28)/R28)</f>
        <v>0</v>
      </c>
      <c r="U28">
        <v>0.3613995348568965</v>
      </c>
      <c r="V28">
        <v>0.4262144767698977</v>
      </c>
      <c r="W28">
        <v>0.387413961632486</v>
      </c>
      <c r="X28">
        <v>0.3824606947012307</v>
      </c>
      <c r="Y28" s="1">
        <f>IF(W28=0, "", (X28-W28)/W28)</f>
        <v>0</v>
      </c>
      <c r="Z28">
        <v>0</v>
      </c>
      <c r="AA28">
        <v>1989.65</v>
      </c>
      <c r="AB28">
        <v>1062.44</v>
      </c>
      <c r="AC28">
        <v>915.5149999999999</v>
      </c>
      <c r="AD28" s="1">
        <f>IF(AB28=0, "", (AC28-AB28)/AB28)</f>
        <v>0</v>
      </c>
      <c r="AE28">
        <v>5118.66</v>
      </c>
      <c r="AF28">
        <v>5575.35</v>
      </c>
      <c r="AG28">
        <v>5610.38</v>
      </c>
      <c r="AH28">
        <v>5586.61</v>
      </c>
      <c r="AI28" s="1">
        <f>IF(AG28=0, "", (AH28-AG28)/AG28)</f>
        <v>0</v>
      </c>
      <c r="AJ28">
        <v>0.001070513855665922</v>
      </c>
      <c r="AK28">
        <v>0.001485925982706249</v>
      </c>
      <c r="AL28">
        <v>0.001505602849647403</v>
      </c>
      <c r="AM28">
        <v>0.001523499144241214</v>
      </c>
      <c r="AN28" s="1">
        <f>IF(AL28=0, "", (AM28-AL28)/AL28)</f>
        <v>0</v>
      </c>
      <c r="AO28">
        <v>1</v>
      </c>
    </row>
    <row r="29" spans="1:41">
      <c r="J29" s="1">
        <f>AVERAGE(J2:J28)</f>
        <v>0</v>
      </c>
      <c r="O29" s="1">
        <f>AVERAGE(O2:O28)</f>
        <v>0</v>
      </c>
      <c r="T29" s="1">
        <f>AVERAGE(T2:T28)</f>
        <v>0</v>
      </c>
      <c r="Y29" s="1">
        <f>AVERAGE(Y2:Y28)</f>
        <v>0</v>
      </c>
      <c r="AD29" s="1">
        <f>AVERAGE(AD2:AD28)</f>
        <v>0</v>
      </c>
      <c r="AI29" s="1">
        <f>AVERAGE(AI2:AI28)</f>
        <v>0</v>
      </c>
      <c r="AN29" s="1">
        <f>AVERAGE(AN2:AN28)</f>
        <v>0</v>
      </c>
    </row>
    <row r="30" spans="1:41">
      <c r="J30" s="1">
        <f>MEDIAN(J2:J28)</f>
        <v>0</v>
      </c>
      <c r="O30" s="1">
        <f>MEDIAN(O2:O28)</f>
        <v>0</v>
      </c>
      <c r="T30" s="1">
        <f>MEDIAN(T2:T28)</f>
        <v>0</v>
      </c>
      <c r="Y30" s="1">
        <f>MEDIAN(Y2:Y28)</f>
        <v>0</v>
      </c>
      <c r="AD30" s="1">
        <f>MEDIAN(AD2:AD28)</f>
        <v>0</v>
      </c>
      <c r="AI30" s="1">
        <f>MEDIAN(AI2:AI28)</f>
        <v>0</v>
      </c>
      <c r="AN30" s="1">
        <f>MEDIAN(AN2:AN28)</f>
        <v>0</v>
      </c>
    </row>
    <row r="31" spans="1:41">
      <c r="J31" s="1">
        <f>STDEV(J2:J28)</f>
        <v>0</v>
      </c>
      <c r="O31" s="1">
        <f>STDEV(O2:O28)</f>
        <v>0</v>
      </c>
      <c r="T31" s="1">
        <f>STDEV(T2:T28)</f>
        <v>0</v>
      </c>
      <c r="Y31" s="1">
        <f>STDEV(Y2:Y28)</f>
        <v>0</v>
      </c>
      <c r="AD31" s="1">
        <f>STDEV(AD2:AD28)</f>
        <v>0</v>
      </c>
      <c r="AI31" s="1">
        <f>STDEV(AI2:AI28)</f>
        <v>0</v>
      </c>
      <c r="AN31" s="1">
        <f>STDEV(AN2:AN28)</f>
        <v>0</v>
      </c>
    </row>
    <row r="32" spans="1:41">
      <c r="J32">
        <f>CORREL(J2:J28,E2:E28)</f>
        <v>0</v>
      </c>
      <c r="O32">
        <f>CORREL(O2:O28,E2:E28)</f>
        <v>0</v>
      </c>
      <c r="T32">
        <f>CORREL(T2:T28,E2:E28)</f>
        <v>0</v>
      </c>
      <c r="Y32">
        <f>CORREL(Y2:Y28,E2:E28)</f>
        <v>0</v>
      </c>
      <c r="AD32">
        <f>CORREL(AD2:AD28,E2:E28)</f>
        <v>0</v>
      </c>
      <c r="AI32">
        <f>CORREL(AI2:AI28,E2:E28)</f>
        <v>0</v>
      </c>
      <c r="AN32">
        <f>CORREL(AN2:AN28,E2:E28)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2026-07-08T07:14:12Z</dcterms:created>
  <dcterms:modified xsi:type="dcterms:W3CDTF">2026-07-08T07:14:12Z</dcterms:modified>
</cp:coreProperties>
</file>